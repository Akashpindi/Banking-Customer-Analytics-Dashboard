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5F3BFD6F-B3C8-4703-9B92-2422FB38EDD2}" xr6:coauthVersionLast="47" xr6:coauthVersionMax="47" xr10:uidLastSave="{00000000-0000-0000-0000-000000000000}"/>
  <bookViews>
    <workbookView xWindow="-108" yWindow="-108" windowWidth="23256" windowHeight="12456" xr2:uid="{00000000-000D-0000-FFFF-FFFF00000000}"/>
  </bookViews>
  <sheets>
    <sheet name="DashBoard" sheetId="9" r:id="rId1"/>
    <sheet name="Churn by Region" sheetId="3" r:id="rId2"/>
    <sheet name="Churn Rate by Credit Band" sheetId="4" r:id="rId3"/>
    <sheet name="Balance &amp; Income by Account Typ" sheetId="5" r:id="rId4"/>
    <sheet name="Satisfaction Distribution" sheetId="6" r:id="rId5"/>
    <sheet name="Complaints vs Churn" sheetId="7" r:id="rId6"/>
    <sheet name="Loan Type vs Churn" sheetId="8" r:id="rId7"/>
    <sheet name="Sheet9" sheetId="10" r:id="rId8"/>
    <sheet name="Sheet11" sheetId="12" r:id="rId9"/>
    <sheet name="Sheet12" sheetId="13" r:id="rId10"/>
    <sheet name="Sheet15" sheetId="16" r:id="rId11"/>
  </sheets>
  <definedNames>
    <definedName name="Slicer_AccountType">#N/A</definedName>
    <definedName name="Slicer_Churned">#N/A</definedName>
    <definedName name="Slicer_CreditBand">#N/A</definedName>
    <definedName name="Slicer_LoanType">#N/A</definedName>
    <definedName name="Slicer_PreferredChannel">#N/A</definedName>
    <definedName name="Slicer_Region">#N/A</definedName>
  </definedNames>
  <calcPr calcId="0"/>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Lst>
</workbook>
</file>

<file path=xl/sharedStrings.xml><?xml version="1.0" encoding="utf-8"?>
<sst xmlns="http://schemas.openxmlformats.org/spreadsheetml/2006/main" count="66" uniqueCount="37">
  <si>
    <t>North</t>
  </si>
  <si>
    <t>Salary</t>
  </si>
  <si>
    <t>Fair</t>
  </si>
  <si>
    <t>Credit Card Loan</t>
  </si>
  <si>
    <t>Dissatisfied</t>
  </si>
  <si>
    <t>No</t>
  </si>
  <si>
    <t>Savings</t>
  </si>
  <si>
    <t>Good</t>
  </si>
  <si>
    <t>None</t>
  </si>
  <si>
    <t>Satisfied</t>
  </si>
  <si>
    <t>Central</t>
  </si>
  <si>
    <t>Very Satisfied</t>
  </si>
  <si>
    <t>Current</t>
  </si>
  <si>
    <t>Very Dissatisfied</t>
  </si>
  <si>
    <t>Auto Loan</t>
  </si>
  <si>
    <t>NRI</t>
  </si>
  <si>
    <t>Very Good</t>
  </si>
  <si>
    <t>Neutral</t>
  </si>
  <si>
    <t>South</t>
  </si>
  <si>
    <t>Home Loan</t>
  </si>
  <si>
    <t>Excellent</t>
  </si>
  <si>
    <t>Yes</t>
  </si>
  <si>
    <t>East</t>
  </si>
  <si>
    <t>Education Loan</t>
  </si>
  <si>
    <t>Personal Loan</t>
  </si>
  <si>
    <t>Poor</t>
  </si>
  <si>
    <t>West</t>
  </si>
  <si>
    <t>Fixed Deposit</t>
  </si>
  <si>
    <t>Row Labels</t>
  </si>
  <si>
    <t>Grand Total</t>
  </si>
  <si>
    <t>Column Labels</t>
  </si>
  <si>
    <t>Count of CustomerID</t>
  </si>
  <si>
    <t>Average of AccountBalance</t>
  </si>
  <si>
    <t>Average of MonthlyIncome</t>
  </si>
  <si>
    <t>Average of CreditScore</t>
  </si>
  <si>
    <t>Sum of LoanAmount</t>
  </si>
  <si>
    <r>
      <t xml:space="preserve">                                                                                           </t>
    </r>
    <r>
      <rPr>
        <b/>
        <sz val="24"/>
        <color theme="1"/>
        <rFont val="Calibri"/>
        <family val="2"/>
        <scheme val="minor"/>
      </rPr>
      <t>🏦</t>
    </r>
    <r>
      <rPr>
        <b/>
        <sz val="24"/>
        <color theme="2"/>
        <rFont val="Calibri"/>
        <family val="2"/>
        <scheme val="minor"/>
      </rPr>
      <t xml:space="preserve"> </t>
    </r>
    <r>
      <rPr>
        <b/>
        <sz val="24"/>
        <color rgb="FF333333"/>
        <rFont val="Calibri"/>
        <family val="2"/>
        <scheme val="minor"/>
      </rPr>
      <t>Banking Customer Analytics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</si>
</sst>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scheme val="minor"/>
    </font>
    <font>
      <b/>
      <sz val="24"/>
      <color theme="2"/>
      <name val="Calibri"/>
      <family val="2"/>
      <scheme val="minor"/>
    </font>
    <font>
      <b/>
      <sz val="24"/>
      <color theme="1"/>
      <name val="Calibri"/>
      <family val="2"/>
      <scheme val="minor"/>
    </font>
    <font>
      <b/>
      <sz val="24"/>
      <color rgb="FF333333"/>
      <name val="Calibri"/>
      <family val="2"/>
      <scheme val="minor"/>
    </font>
  </fonts>
  <fills count="6">
    <fill>
      <patternFill patternType="none"/>
    </fill>
    <fill>
      <patternFill patternType="gray125"/>
    </fill>
    <fill>
      <patternFill patternType="solid">
        <fgColor rgb="FFFFFFFF"/>
        <bgColor indexed="64"/>
      </patternFill>
    </fill>
    <fill>
      <patternFill patternType="solid">
        <fgColor theme="2"/>
        <bgColor indexed="64"/>
      </patternFill>
    </fill>
    <fill>
      <patternFill patternType="solid">
        <fgColor rgb="FFFFF8FA"/>
        <bgColor indexed="64"/>
      </patternFill>
    </fill>
    <fill>
      <patternFill patternType="solid">
        <fgColor rgb="FFF4C2C2"/>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pivotButton="1"/>
    <xf numFmtId="0" fontId="0" fillId="0" borderId="0" xfId="0" applyAlignment="1">
      <alignment horizontal="left"/>
    </xf>
    <xf numFmtId="0" fontId="0" fillId="2" borderId="0" xfId="0" applyFill="1" applyAlignment="1">
      <alignment horizontal="left"/>
    </xf>
    <xf numFmtId="0" fontId="0" fillId="3" borderId="0" xfId="0" applyFill="1"/>
    <xf numFmtId="0" fontId="0" fillId="3" borderId="0" xfId="0" applyFill="1" applyAlignment="1">
      <alignment horizontal="left"/>
    </xf>
    <xf numFmtId="2" fontId="0" fillId="0" borderId="0" xfId="0" applyNumberFormat="1"/>
    <xf numFmtId="1" fontId="0" fillId="0" borderId="0" xfId="0" applyNumberFormat="1"/>
    <xf numFmtId="0" fontId="0" fillId="4" borderId="0" xfId="0" applyFill="1"/>
    <xf numFmtId="0" fontId="1" fillId="5" borderId="0" xfId="0" applyFont="1" applyFill="1" applyAlignment="1">
      <alignment vertical="center"/>
    </xf>
    <xf numFmtId="0" fontId="0" fillId="5" borderId="0" xfId="0" applyFill="1"/>
    <xf numFmtId="0" fontId="0" fillId="0" borderId="0" xfId="0" applyNumberFormat="1"/>
    <xf numFmtId="0" fontId="0" fillId="2" borderId="0" xfId="0" applyNumberFormat="1" applyFill="1"/>
    <xf numFmtId="0" fontId="0" fillId="3" borderId="0" xfId="0" applyNumberFormat="1" applyFill="1"/>
  </cellXfs>
  <cellStyles count="1">
    <cellStyle name="Normal" xfId="0" builtinId="0"/>
  </cellStyles>
  <dxfs count="240">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numFmt numFmtId="1" formatCode="0"/>
    </dxf>
    <dxf>
      <numFmt numFmtId="2" formatCode="0.00"/>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s>
  <tableStyles count="0" defaultTableStyle="TableStyleMedium2" defaultPivotStyle="PivotStyleLight16"/>
  <colors>
    <mruColors>
      <color rgb="FF333333"/>
      <color rgb="FFC2185B"/>
      <color rgb="FFFFF0F5"/>
      <color rgb="FFFCE4EC"/>
      <color rgb="FFF4C2C2"/>
      <color rgb="FFFADADD"/>
      <color rgb="FFF8D7DA"/>
      <color rgb="FFE91E63"/>
      <color rgb="FFFFF8FA"/>
      <color rgb="FF0B1F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[Banking Customer Analytics Dashboard.xlsx]Churn by Region!PivotTable1</c:name>
    <c:fmtId val="1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Churn by Region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6">
              <a:tint val="54000"/>
            </a:schemeClr>
          </a:solidFill>
          <a:ln w="19050">
            <a:solidFill>
              <a:schemeClr val="lt1"/>
            </a:solidFill>
          </a:ln>
          <a:effectLst/>
        </c:spPr>
      </c:pivotFmt>
      <c:pivotFmt>
        <c:idx val="16"/>
        <c:spPr>
          <a:solidFill>
            <a:schemeClr val="accent6">
              <a:tint val="77000"/>
            </a:schemeClr>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hade val="53000"/>
            </a:schemeClr>
          </a:solidFill>
          <a:ln w="19050">
            <a:solidFill>
              <a:schemeClr val="lt1"/>
            </a:solidFill>
          </a:ln>
          <a:effectLst/>
        </c:spPr>
      </c:pivotFmt>
      <c:pivotFmt>
        <c:idx val="20"/>
        <c:spPr>
          <a:solidFill>
            <a:schemeClr val="accent6"/>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6">
              <a:tint val="54000"/>
            </a:schemeClr>
          </a:solidFill>
          <a:ln w="19050">
            <a:solidFill>
              <a:schemeClr val="lt1"/>
            </a:solidFill>
          </a:ln>
          <a:effectLst/>
        </c:spPr>
      </c:pivotFmt>
      <c:pivotFmt>
        <c:idx val="22"/>
        <c:spPr>
          <a:solidFill>
            <a:schemeClr val="accent6">
              <a:tint val="77000"/>
            </a:schemeClr>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6"/>
          </a:solidFill>
          <a:ln w="19050">
            <a:solidFill>
              <a:schemeClr val="lt1"/>
            </a:solidFill>
          </a:ln>
          <a:effectLst/>
        </c:spPr>
      </c:pivotFmt>
      <c:pivotFmt>
        <c:idx val="25"/>
        <c:spPr>
          <a:solidFill>
            <a:schemeClr val="accent6">
              <a:shade val="53000"/>
            </a:schemeClr>
          </a:solidFill>
          <a:ln w="19050">
            <a:solidFill>
              <a:schemeClr val="lt1"/>
            </a:solidFill>
          </a:ln>
          <a:effectLst/>
        </c:spPr>
      </c:pivotFmt>
    </c:pivotFmts>
    <c:plotArea>
      <c:layout/>
      <c:pieChart>
        <c:varyColors val="1"/>
        <c:ser>
          <c:idx val="0"/>
          <c:order val="0"/>
          <c:tx>
            <c:strRef>
              <c:f>'Churn by Region'!$B$3:$B$4</c:f>
              <c:strCache>
                <c:ptCount val="1"/>
                <c:pt idx="0">
                  <c:v>No</c:v>
                </c:pt>
              </c:strCache>
            </c:strRef>
          </c:tx>
          <c:dPt>
            <c:idx val="0"/>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1-F8FE-492F-80F0-3D28BC01750B}"/>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F8FE-492F-80F0-3D28BC01750B}"/>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F8FE-492F-80F0-3D28BC01750B}"/>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7-F8FE-492F-80F0-3D28BC01750B}"/>
              </c:ext>
            </c:extLst>
          </c:dPt>
          <c:dPt>
            <c:idx val="4"/>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9-F8FE-492F-80F0-3D28BC01750B}"/>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'Churn by Region'!$A$5:$A$10</c:f>
              <c:strCache>
                <c:ptCount val="5"/>
                <c:pt idx="0">
                  <c:v>Central</c:v>
                </c:pt>
                <c:pt idx="1">
                  <c:v>East</c:v>
                </c:pt>
                <c:pt idx="2">
                  <c:v>North</c:v>
                </c:pt>
                <c:pt idx="3">
                  <c:v>South</c:v>
                </c:pt>
                <c:pt idx="4">
                  <c:v>West</c:v>
                </c:pt>
              </c:strCache>
            </c:strRef>
          </c:cat>
          <c:val>
            <c:numRef>
              <c:f>'Churn by Region'!$B$5:$B$10</c:f>
              <c:numCache>
                <c:formatCode>General</c:formatCode>
                <c:ptCount val="5"/>
                <c:pt idx="0">
                  <c:v>142</c:v>
                </c:pt>
                <c:pt idx="1">
                  <c:v>139</c:v>
                </c:pt>
                <c:pt idx="2">
                  <c:v>142</c:v>
                </c:pt>
                <c:pt idx="3">
                  <c:v>128</c:v>
                </c:pt>
                <c:pt idx="4">
                  <c:v>113</c:v>
                </c:pt>
              </c:numCache>
            </c:numRef>
          </c:val>
          <c:extLst>
            <c:ext xmlns:c16="http://schemas.microsoft.com/office/drawing/2014/chart" uri="{C3380CC4-5D6E-409C-BE32-E72D297353CC}">
              <c16:uniqueId val="{0000000A-F8FE-492F-80F0-3D28BC01750B}"/>
            </c:ext>
          </c:extLst>
        </c:ser>
        <c:ser>
          <c:idx val="1"/>
          <c:order val="1"/>
          <c:tx>
            <c:strRef>
              <c:f>'Churn by Region'!$C$3:$C$4</c:f>
              <c:strCache>
                <c:ptCount val="1"/>
                <c:pt idx="0">
                  <c:v>Yes</c:v>
                </c:pt>
              </c:strCache>
            </c:strRef>
          </c:tx>
          <c:dPt>
            <c:idx val="0"/>
            <c:bubble3D val="0"/>
            <c:spPr>
              <a:solidFill>
                <a:schemeClr val="accent6">
                  <a:tint val="54000"/>
                </a:schemeClr>
              </a:solidFill>
              <a:ln w="19050">
                <a:solidFill>
                  <a:schemeClr val="lt1"/>
                </a:solidFill>
              </a:ln>
              <a:effectLst/>
            </c:spPr>
          </c:dPt>
          <c:dPt>
            <c:idx val="1"/>
            <c:bubble3D val="0"/>
            <c:spPr>
              <a:solidFill>
                <a:schemeClr val="accent6">
                  <a:tint val="77000"/>
                </a:schemeClr>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6">
                  <a:shade val="76000"/>
                </a:schemeClr>
              </a:solidFill>
              <a:ln w="19050">
                <a:solidFill>
                  <a:schemeClr val="lt1"/>
                </a:solidFill>
              </a:ln>
              <a:effectLst/>
            </c:spPr>
          </c:dPt>
          <c:dPt>
            <c:idx val="4"/>
            <c:bubble3D val="0"/>
            <c:spPr>
              <a:solidFill>
                <a:schemeClr val="accent6">
                  <a:shade val="53000"/>
                </a:schemeClr>
              </a:solidFill>
              <a:ln w="19050">
                <a:solidFill>
                  <a:schemeClr val="lt1"/>
                </a:solidFill>
              </a:ln>
              <a:effectLst/>
            </c:spPr>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'Churn by Region'!$A$5:$A$10</c:f>
              <c:strCache>
                <c:ptCount val="5"/>
                <c:pt idx="0">
                  <c:v>Central</c:v>
                </c:pt>
                <c:pt idx="1">
                  <c:v>East</c:v>
                </c:pt>
                <c:pt idx="2">
                  <c:v>North</c:v>
                </c:pt>
                <c:pt idx="3">
                  <c:v>South</c:v>
                </c:pt>
                <c:pt idx="4">
                  <c:v>West</c:v>
                </c:pt>
              </c:strCache>
            </c:strRef>
          </c:cat>
          <c:val>
            <c:numRef>
              <c:f>'Churn by Region'!$C$5:$C$10</c:f>
              <c:numCache>
                <c:formatCode>General</c:formatCode>
                <c:ptCount val="5"/>
                <c:pt idx="0">
                  <c:v>29</c:v>
                </c:pt>
                <c:pt idx="1">
                  <c:v>29</c:v>
                </c:pt>
                <c:pt idx="2">
                  <c:v>17</c:v>
                </c:pt>
                <c:pt idx="3">
                  <c:v>31</c:v>
                </c:pt>
                <c:pt idx="4">
                  <c:v>30</c:v>
                </c:pt>
              </c:numCache>
            </c:numRef>
          </c:val>
          <c:extLst>
            <c:ext xmlns:c16="http://schemas.microsoft.com/office/drawing/2014/chart" uri="{C3380CC4-5D6E-409C-BE32-E72D297353CC}">
              <c16:uniqueId val="{00000015-C830-47EA-B066-85BE0D408AD9}"/>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91E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[Banking Customer Analytics Dashboard.xlsx]Churn Rate by Credit Band!PivotTable2</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Churn Rate by Credit Band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Rate by Credit Band'!$B$3:$B$4</c:f>
              <c:strCache>
                <c:ptCount val="1"/>
                <c:pt idx="0">
                  <c:v>No</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Rate by Credit Band'!$A$5:$A$10</c:f>
              <c:strCache>
                <c:ptCount val="5"/>
                <c:pt idx="0">
                  <c:v>Excellent</c:v>
                </c:pt>
                <c:pt idx="1">
                  <c:v>Fair</c:v>
                </c:pt>
                <c:pt idx="2">
                  <c:v>Good</c:v>
                </c:pt>
                <c:pt idx="3">
                  <c:v>Poor</c:v>
                </c:pt>
                <c:pt idx="4">
                  <c:v>Very Good</c:v>
                </c:pt>
              </c:strCache>
            </c:strRef>
          </c:cat>
          <c:val>
            <c:numRef>
              <c:f>'Churn Rate by Credit Band'!$B$5:$B$10</c:f>
              <c:numCache>
                <c:formatCode>General</c:formatCode>
                <c:ptCount val="5"/>
                <c:pt idx="0">
                  <c:v>60</c:v>
                </c:pt>
                <c:pt idx="1">
                  <c:v>208</c:v>
                </c:pt>
                <c:pt idx="2">
                  <c:v>205</c:v>
                </c:pt>
                <c:pt idx="3">
                  <c:v>84</c:v>
                </c:pt>
                <c:pt idx="4">
                  <c:v>107</c:v>
                </c:pt>
              </c:numCache>
            </c:numRef>
          </c:val>
          <c:extLst>
            <c:ext xmlns:c16="http://schemas.microsoft.com/office/drawing/2014/chart" uri="{C3380CC4-5D6E-409C-BE32-E72D297353CC}">
              <c16:uniqueId val="{00000000-30D2-4FD2-8117-2BD718B3B6ED}"/>
            </c:ext>
          </c:extLst>
        </c:ser>
        <c:ser>
          <c:idx val="1"/>
          <c:order val="1"/>
          <c:tx>
            <c:strRef>
              <c:f>'Churn Rate by Credit Band'!$C$3:$C$4</c:f>
              <c:strCache>
                <c:ptCount val="1"/>
                <c:pt idx="0">
                  <c:v>Yes</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Rate by Credit Band'!$A$5:$A$10</c:f>
              <c:strCache>
                <c:ptCount val="5"/>
                <c:pt idx="0">
                  <c:v>Excellent</c:v>
                </c:pt>
                <c:pt idx="1">
                  <c:v>Fair</c:v>
                </c:pt>
                <c:pt idx="2">
                  <c:v>Good</c:v>
                </c:pt>
                <c:pt idx="3">
                  <c:v>Poor</c:v>
                </c:pt>
                <c:pt idx="4">
                  <c:v>Very Good</c:v>
                </c:pt>
              </c:strCache>
            </c:strRef>
          </c:cat>
          <c:val>
            <c:numRef>
              <c:f>'Churn Rate by Credit Band'!$C$5:$C$10</c:f>
              <c:numCache>
                <c:formatCode>General</c:formatCode>
                <c:ptCount val="5"/>
                <c:pt idx="0">
                  <c:v>16</c:v>
                </c:pt>
                <c:pt idx="1">
                  <c:v>45</c:v>
                </c:pt>
                <c:pt idx="2">
                  <c:v>31</c:v>
                </c:pt>
                <c:pt idx="3">
                  <c:v>25</c:v>
                </c:pt>
                <c:pt idx="4">
                  <c:v>19</c:v>
                </c:pt>
              </c:numCache>
            </c:numRef>
          </c:val>
          <c:extLst>
            <c:ext xmlns:c16="http://schemas.microsoft.com/office/drawing/2014/chart" uri="{C3380CC4-5D6E-409C-BE32-E72D297353CC}">
              <c16:uniqueId val="{00000001-98DD-4861-9AFA-17491788BCF4}"/>
            </c:ext>
          </c:extLst>
        </c:ser>
        <c:dLbls>
          <c:dLblPos val="outEnd"/>
          <c:showLegendKey val="0"/>
          <c:showVal val="1"/>
          <c:showCatName val="0"/>
          <c:showSerName val="0"/>
          <c:showPercent val="0"/>
          <c:showBubbleSize val="0"/>
        </c:dLbls>
        <c:gapWidth val="219"/>
        <c:overlap val="-27"/>
        <c:axId val="862954032"/>
        <c:axId val="667720368"/>
      </c:barChart>
      <c:catAx>
        <c:axId val="862954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67720368"/>
        <c:crosses val="autoZero"/>
        <c:auto val="1"/>
        <c:lblAlgn val="ctr"/>
        <c:lblOffset val="100"/>
        <c:noMultiLvlLbl val="0"/>
      </c:catAx>
      <c:valAx>
        <c:axId val="6677203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62954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91E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[Banking Customer Analytics Dashboard.xlsx]Balance &amp; Income by Account Typ!PivotTable3</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Balance &amp; Income by Account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'Balance &amp; Income by Account Typ'!$B$3</c:f>
              <c:strCache>
                <c:ptCount val="1"/>
                <c:pt idx="0">
                  <c:v>Average of AccountBalance</c:v>
                </c:pt>
              </c:strCache>
            </c:strRef>
          </c:tx>
          <c:spPr>
            <a:solidFill>
              <a:schemeClr val="accent6">
                <a:tint val="77000"/>
              </a:schemeClr>
            </a:solidFill>
            <a:ln>
              <a:noFill/>
            </a:ln>
            <a:effectLst/>
          </c:spPr>
          <c:invertIfNegative val="0"/>
          <c:cat>
            <c:strRef>
              <c:f>'Balance &amp; Income by Account Typ'!$A$4:$A$9</c:f>
              <c:strCache>
                <c:ptCount val="5"/>
                <c:pt idx="0">
                  <c:v>Current</c:v>
                </c:pt>
                <c:pt idx="1">
                  <c:v>Fixed Deposit</c:v>
                </c:pt>
                <c:pt idx="2">
                  <c:v>NRI</c:v>
                </c:pt>
                <c:pt idx="3">
                  <c:v>Salary</c:v>
                </c:pt>
                <c:pt idx="4">
                  <c:v>Savings</c:v>
                </c:pt>
              </c:strCache>
            </c:strRef>
          </c:cat>
          <c:val>
            <c:numRef>
              <c:f>'Balance &amp; Income by Account Typ'!$B$4:$B$9</c:f>
              <c:numCache>
                <c:formatCode>General</c:formatCode>
                <c:ptCount val="5"/>
                <c:pt idx="0">
                  <c:v>47645.405449438214</c:v>
                </c:pt>
                <c:pt idx="1">
                  <c:v>54156.479819819819</c:v>
                </c:pt>
                <c:pt idx="2">
                  <c:v>56562.543472222234</c:v>
                </c:pt>
                <c:pt idx="3">
                  <c:v>55727.736666666679</c:v>
                </c:pt>
                <c:pt idx="4">
                  <c:v>57559.869342560567</c:v>
                </c:pt>
              </c:numCache>
            </c:numRef>
          </c:val>
          <c:extLst>
            <c:ext xmlns:c16="http://schemas.microsoft.com/office/drawing/2014/chart" uri="{C3380CC4-5D6E-409C-BE32-E72D297353CC}">
              <c16:uniqueId val="{00000000-B584-4E1B-8F46-2A809CD912D2}"/>
            </c:ext>
          </c:extLst>
        </c:ser>
        <c:ser>
          <c:idx val="1"/>
          <c:order val="1"/>
          <c:tx>
            <c:strRef>
              <c:f>'Balance &amp; Income by Account Typ'!$C$3</c:f>
              <c:strCache>
                <c:ptCount val="1"/>
                <c:pt idx="0">
                  <c:v>Average of MonthlyIncome</c:v>
                </c:pt>
              </c:strCache>
            </c:strRef>
          </c:tx>
          <c:spPr>
            <a:solidFill>
              <a:schemeClr val="accent6">
                <a:shade val="76000"/>
              </a:schemeClr>
            </a:solidFill>
            <a:ln>
              <a:noFill/>
            </a:ln>
            <a:effectLst/>
          </c:spPr>
          <c:invertIfNegative val="0"/>
          <c:cat>
            <c:strRef>
              <c:f>'Balance &amp; Income by Account Typ'!$A$4:$A$9</c:f>
              <c:strCache>
                <c:ptCount val="5"/>
                <c:pt idx="0">
                  <c:v>Current</c:v>
                </c:pt>
                <c:pt idx="1">
                  <c:v>Fixed Deposit</c:v>
                </c:pt>
                <c:pt idx="2">
                  <c:v>NRI</c:v>
                </c:pt>
                <c:pt idx="3">
                  <c:v>Salary</c:v>
                </c:pt>
                <c:pt idx="4">
                  <c:v>Savings</c:v>
                </c:pt>
              </c:strCache>
            </c:strRef>
          </c:cat>
          <c:val>
            <c:numRef>
              <c:f>'Balance &amp; Income by Account Typ'!$C$4:$C$9</c:f>
              <c:numCache>
                <c:formatCode>General</c:formatCode>
                <c:ptCount val="5"/>
                <c:pt idx="0">
                  <c:v>44012.968202247182</c:v>
                </c:pt>
                <c:pt idx="1">
                  <c:v>44086.945945945918</c:v>
                </c:pt>
                <c:pt idx="2">
                  <c:v>42077.037777777768</c:v>
                </c:pt>
                <c:pt idx="3">
                  <c:v>43690.73579999998</c:v>
                </c:pt>
                <c:pt idx="4">
                  <c:v>46058.044256055386</c:v>
                </c:pt>
              </c:numCache>
            </c:numRef>
          </c:val>
          <c:extLst>
            <c:ext xmlns:c16="http://schemas.microsoft.com/office/drawing/2014/chart" uri="{C3380CC4-5D6E-409C-BE32-E72D297353CC}">
              <c16:uniqueId val="{00000001-B584-4E1B-8F46-2A809CD912D2}"/>
            </c:ext>
          </c:extLst>
        </c:ser>
        <c:dLbls>
          <c:showLegendKey val="0"/>
          <c:showVal val="0"/>
          <c:showCatName val="0"/>
          <c:showSerName val="0"/>
          <c:showPercent val="0"/>
          <c:showBubbleSize val="0"/>
        </c:dLbls>
        <c:gapWidth val="219"/>
        <c:overlap val="-27"/>
        <c:axId val="899340656"/>
        <c:axId val="667794288"/>
      </c:barChart>
      <c:catAx>
        <c:axId val="89934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67794288"/>
        <c:crosses val="autoZero"/>
        <c:auto val="1"/>
        <c:lblAlgn val="ctr"/>
        <c:lblOffset val="100"/>
        <c:noMultiLvlLbl val="0"/>
      </c:catAx>
      <c:valAx>
        <c:axId val="667794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9934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91E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[Banking Customer Analytics Dashboard.xlsx]Satisfaction Distribution!PivotTable4</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Satisfaction Distribution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tint val="54000"/>
            </a:schemeClr>
          </a:solidFill>
          <a:ln w="19050">
            <a:solidFill>
              <a:schemeClr val="lt1"/>
            </a:solidFill>
          </a:ln>
          <a:effectLst/>
        </c:spPr>
      </c:pivotFmt>
      <c:pivotFmt>
        <c:idx val="9"/>
        <c:spPr>
          <a:solidFill>
            <a:schemeClr val="accent6">
              <a:tint val="77000"/>
            </a:schemeClr>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hade val="76000"/>
            </a:schemeClr>
          </a:solidFill>
          <a:ln w="19050">
            <a:solidFill>
              <a:schemeClr val="lt1"/>
            </a:solidFill>
          </a:ln>
          <a:effectLst/>
        </c:spPr>
      </c:pivotFmt>
      <c:pivotFmt>
        <c:idx val="12"/>
        <c:spPr>
          <a:solidFill>
            <a:schemeClr val="accent6">
              <a:shade val="53000"/>
            </a:schemeClr>
          </a:solidFill>
          <a:ln w="19050">
            <a:solidFill>
              <a:schemeClr val="lt1"/>
            </a:solidFill>
          </a:ln>
          <a:effectLst/>
        </c:spPr>
      </c:pivotFmt>
    </c:pivotFmts>
    <c:plotArea>
      <c:layout/>
      <c:doughnutChart>
        <c:varyColors val="1"/>
        <c:ser>
          <c:idx val="0"/>
          <c:order val="0"/>
          <c:tx>
            <c:strRef>
              <c:f>'Satisfaction Distribution'!$B$3</c:f>
              <c:strCache>
                <c:ptCount val="1"/>
                <c:pt idx="0">
                  <c:v>Total</c:v>
                </c:pt>
              </c:strCache>
            </c:strRef>
          </c:tx>
          <c:dPt>
            <c:idx val="0"/>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1-3DFC-4440-BED1-8F5BFB91178F}"/>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3DFC-4440-BED1-8F5BFB91178F}"/>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3DFC-4440-BED1-8F5BFB91178F}"/>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7-3DFC-4440-BED1-8F5BFB91178F}"/>
              </c:ext>
            </c:extLst>
          </c:dPt>
          <c:dPt>
            <c:idx val="4"/>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9-3DFC-4440-BED1-8F5BFB91178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'Satisfaction Distribution'!$A$4:$A$9</c:f>
              <c:strCache>
                <c:ptCount val="5"/>
                <c:pt idx="0">
                  <c:v>Dissatisfied</c:v>
                </c:pt>
                <c:pt idx="1">
                  <c:v>Neutral</c:v>
                </c:pt>
                <c:pt idx="2">
                  <c:v>Satisfied</c:v>
                </c:pt>
                <c:pt idx="3">
                  <c:v>Very Dissatisfied</c:v>
                </c:pt>
                <c:pt idx="4">
                  <c:v>Very Satisfied</c:v>
                </c:pt>
              </c:strCache>
            </c:strRef>
          </c:cat>
          <c:val>
            <c:numRef>
              <c:f>'Satisfaction Distribution'!$B$4:$B$9</c:f>
              <c:numCache>
                <c:formatCode>General</c:formatCode>
                <c:ptCount val="5"/>
                <c:pt idx="0">
                  <c:v>103</c:v>
                </c:pt>
                <c:pt idx="1">
                  <c:v>223</c:v>
                </c:pt>
                <c:pt idx="2">
                  <c:v>280</c:v>
                </c:pt>
                <c:pt idx="3">
                  <c:v>81</c:v>
                </c:pt>
                <c:pt idx="4">
                  <c:v>113</c:v>
                </c:pt>
              </c:numCache>
            </c:numRef>
          </c:val>
          <c:extLst>
            <c:ext xmlns:c16="http://schemas.microsoft.com/office/drawing/2014/chart" uri="{C3380CC4-5D6E-409C-BE32-E72D297353CC}">
              <c16:uniqueId val="{0000000A-3DFC-4440-BED1-8F5BFB91178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91E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[Banking Customer Analytics Dashboard.xlsx]Complaints vs Churn!PivotTable5</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Complaints vs Churn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3.5944444444444446E-2"/>
              <c:y val="-8.09838874307379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8.9444444444444441E-3"/>
              <c:y val="-5.32061096529602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3.5944444444444446E-2"/>
              <c:y val="-8.09838874307379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circle"/>
          <c:size val="5"/>
          <c:spPr>
            <a:solidFill>
              <a:schemeClr val="accent6"/>
            </a:solidFill>
            <a:ln w="9525">
              <a:solidFill>
                <a:schemeClr val="accent6"/>
              </a:solidFill>
            </a:ln>
            <a:effectLst/>
          </c:spPr>
        </c:marker>
        <c:dLbl>
          <c:idx val="0"/>
          <c:layout>
            <c:manualLayout>
              <c:x val="8.9444444444444441E-3"/>
              <c:y val="-5.32061096529602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layout>
            <c:manualLayout>
              <c:x val="3.5944444444444446E-2"/>
              <c:y val="-8.09838874307379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layout>
            <c:manualLayout>
              <c:x val="8.9444444444444441E-3"/>
              <c:y val="-5.32061096529602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'Complaints vs Churn'!$B$3:$B$4</c:f>
              <c:strCache>
                <c:ptCount val="1"/>
                <c:pt idx="0">
                  <c:v>No</c:v>
                </c:pt>
              </c:strCache>
            </c:strRef>
          </c:tx>
          <c:spPr>
            <a:ln w="28575" cap="rnd">
              <a:solidFill>
                <a:schemeClr val="accent6">
                  <a:tint val="77000"/>
                </a:schemeClr>
              </a:solidFill>
              <a:round/>
            </a:ln>
            <a:effectLst/>
          </c:spPr>
          <c:marker>
            <c:symbol val="circle"/>
            <c:size val="5"/>
            <c:spPr>
              <a:solidFill>
                <a:schemeClr val="accent6">
                  <a:tint val="77000"/>
                </a:schemeClr>
              </a:solidFill>
              <a:ln w="9525">
                <a:solidFill>
                  <a:schemeClr val="accent6">
                    <a:tint val="77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'Complaints vs Churn'!$A$5:$A$10</c:f>
              <c:strCache>
                <c:ptCount val="5"/>
                <c:pt idx="0">
                  <c:v>0</c:v>
                </c:pt>
                <c:pt idx="1">
                  <c:v>1</c:v>
                </c:pt>
                <c:pt idx="2">
                  <c:v>2</c:v>
                </c:pt>
                <c:pt idx="3">
                  <c:v>3</c:v>
                </c:pt>
                <c:pt idx="4">
                  <c:v>4</c:v>
                </c:pt>
              </c:strCache>
            </c:strRef>
          </c:cat>
          <c:val>
            <c:numRef>
              <c:f>'Complaints vs Churn'!$B$5:$B$10</c:f>
              <c:numCache>
                <c:formatCode>General</c:formatCode>
                <c:ptCount val="5"/>
                <c:pt idx="0">
                  <c:v>376</c:v>
                </c:pt>
                <c:pt idx="1">
                  <c:v>165</c:v>
                </c:pt>
                <c:pt idx="2">
                  <c:v>65</c:v>
                </c:pt>
                <c:pt idx="3">
                  <c:v>39</c:v>
                </c:pt>
                <c:pt idx="4">
                  <c:v>19</c:v>
                </c:pt>
              </c:numCache>
            </c:numRef>
          </c:val>
          <c:smooth val="0"/>
          <c:extLst>
            <c:ext xmlns:c16="http://schemas.microsoft.com/office/drawing/2014/chart" uri="{C3380CC4-5D6E-409C-BE32-E72D297353CC}">
              <c16:uniqueId val="{00000000-4AC8-468D-8A41-A81304DE7FB0}"/>
            </c:ext>
          </c:extLst>
        </c:ser>
        <c:ser>
          <c:idx val="1"/>
          <c:order val="1"/>
          <c:tx>
            <c:strRef>
              <c:f>'Complaints vs Churn'!$C$3:$C$4</c:f>
              <c:strCache>
                <c:ptCount val="1"/>
                <c:pt idx="0">
                  <c:v>Yes</c:v>
                </c:pt>
              </c:strCache>
            </c:strRef>
          </c:tx>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dPt>
            <c:idx val="3"/>
            <c:marker>
              <c:symbol val="circle"/>
              <c:size val="5"/>
              <c:spPr>
                <a:solidFill>
                  <a:schemeClr val="accent6">
                    <a:shade val="76000"/>
                  </a:schemeClr>
                </a:solidFill>
                <a:ln w="9525">
                  <a:solidFill>
                    <a:schemeClr val="accent6">
                      <a:shade val="76000"/>
                    </a:schemeClr>
                  </a:solidFill>
                </a:ln>
                <a:effectLst/>
              </c:spPr>
            </c:marker>
            <c:bubble3D val="0"/>
            <c:spPr>
              <a:ln w="28575" cap="rnd">
                <a:solidFill>
                  <a:schemeClr val="accent6">
                    <a:shade val="76000"/>
                  </a:schemeClr>
                </a:solidFill>
                <a:round/>
              </a:ln>
              <a:effectLst/>
            </c:spPr>
          </c:dPt>
          <c:dPt>
            <c:idx val="4"/>
            <c:marker>
              <c:symbol val="circle"/>
              <c:size val="5"/>
              <c:spPr>
                <a:solidFill>
                  <a:schemeClr val="accent6">
                    <a:shade val="76000"/>
                  </a:schemeClr>
                </a:solidFill>
                <a:ln w="9525">
                  <a:solidFill>
                    <a:schemeClr val="accent6">
                      <a:shade val="76000"/>
                    </a:schemeClr>
                  </a:solidFill>
                </a:ln>
                <a:effectLst/>
              </c:spPr>
            </c:marker>
            <c:bubble3D val="0"/>
            <c:spPr>
              <a:ln w="28575" cap="rnd">
                <a:solidFill>
                  <a:schemeClr val="accent6">
                    <a:shade val="76000"/>
                  </a:schemeClr>
                </a:solidFill>
                <a:round/>
              </a:ln>
              <a:effectLst/>
            </c:spPr>
          </c:dPt>
          <c:dLbls>
            <c:dLbl>
              <c:idx val="3"/>
              <c:layout>
                <c:manualLayout>
                  <c:x val="3.5944444444444446E-2"/>
                  <c:y val="-8.0983887430737908E-2"/>
                </c:manualLayout>
              </c:layout>
              <c:dLblPos val="r"/>
              <c:showLegendKey val="0"/>
              <c:showVal val="1"/>
              <c:showCatName val="0"/>
              <c:showSerName val="0"/>
              <c:showPercent val="0"/>
              <c:showBubbleSize val="0"/>
              <c:extLst>
                <c:ext xmlns:c15="http://schemas.microsoft.com/office/drawing/2012/chart" uri="{CE6537A1-D6FC-4f65-9D91-7224C49458BB}"/>
              </c:extLst>
            </c:dLbl>
            <c:dLbl>
              <c:idx val="4"/>
              <c:layout>
                <c:manualLayout>
                  <c:x val="8.9444444444444441E-3"/>
                  <c:y val="-5.3206109652960215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'Complaints vs Churn'!$A$5:$A$10</c:f>
              <c:strCache>
                <c:ptCount val="5"/>
                <c:pt idx="0">
                  <c:v>0</c:v>
                </c:pt>
                <c:pt idx="1">
                  <c:v>1</c:v>
                </c:pt>
                <c:pt idx="2">
                  <c:v>2</c:v>
                </c:pt>
                <c:pt idx="3">
                  <c:v>3</c:v>
                </c:pt>
                <c:pt idx="4">
                  <c:v>4</c:v>
                </c:pt>
              </c:strCache>
            </c:strRef>
          </c:cat>
          <c:val>
            <c:numRef>
              <c:f>'Complaints vs Churn'!$C$5:$C$10</c:f>
              <c:numCache>
                <c:formatCode>General</c:formatCode>
                <c:ptCount val="5"/>
                <c:pt idx="0">
                  <c:v>65</c:v>
                </c:pt>
                <c:pt idx="1">
                  <c:v>23</c:v>
                </c:pt>
                <c:pt idx="2">
                  <c:v>26</c:v>
                </c:pt>
                <c:pt idx="3">
                  <c:v>17</c:v>
                </c:pt>
                <c:pt idx="4">
                  <c:v>5</c:v>
                </c:pt>
              </c:numCache>
            </c:numRef>
          </c:val>
          <c:smooth val="0"/>
          <c:extLst>
            <c:ext xmlns:c16="http://schemas.microsoft.com/office/drawing/2014/chart" uri="{C3380CC4-5D6E-409C-BE32-E72D297353CC}">
              <c16:uniqueId val="{00000005-4BB6-4803-AD45-415EB712442C}"/>
            </c:ext>
          </c:extLst>
        </c:ser>
        <c:dLbls>
          <c:dLblPos val="t"/>
          <c:showLegendKey val="0"/>
          <c:showVal val="1"/>
          <c:showCatName val="0"/>
          <c:showSerName val="0"/>
          <c:showPercent val="0"/>
          <c:showBubbleSize val="0"/>
        </c:dLbls>
        <c:marker val="1"/>
        <c:smooth val="0"/>
        <c:axId val="902309200"/>
        <c:axId val="903657008"/>
      </c:lineChart>
      <c:catAx>
        <c:axId val="90230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03657008"/>
        <c:crosses val="autoZero"/>
        <c:auto val="1"/>
        <c:lblAlgn val="ctr"/>
        <c:lblOffset val="100"/>
        <c:noMultiLvlLbl val="0"/>
      </c:catAx>
      <c:valAx>
        <c:axId val="903657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02309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91E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[Banking Customer Analytics Dashboard.xlsx]Loan Type vs Churn!PivotTable6</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Loan Type vs Churn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'Loan Type vs Churn'!$B$3:$B$4</c:f>
              <c:strCache>
                <c:ptCount val="1"/>
                <c:pt idx="0">
                  <c:v>No</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'Loan Type vs Churn'!$A$5:$A$11</c:f>
              <c:strCache>
                <c:ptCount val="6"/>
                <c:pt idx="0">
                  <c:v>Auto Loan</c:v>
                </c:pt>
                <c:pt idx="1">
                  <c:v>Credit Card Loan</c:v>
                </c:pt>
                <c:pt idx="2">
                  <c:v>Education Loan</c:v>
                </c:pt>
                <c:pt idx="3">
                  <c:v>Home Loan</c:v>
                </c:pt>
                <c:pt idx="4">
                  <c:v>None</c:v>
                </c:pt>
                <c:pt idx="5">
                  <c:v>Personal Loan</c:v>
                </c:pt>
              </c:strCache>
            </c:strRef>
          </c:cat>
          <c:val>
            <c:numRef>
              <c:f>'Loan Type vs Churn'!$B$5:$B$11</c:f>
              <c:numCache>
                <c:formatCode>General</c:formatCode>
                <c:ptCount val="6"/>
                <c:pt idx="0">
                  <c:v>75</c:v>
                </c:pt>
                <c:pt idx="1">
                  <c:v>73</c:v>
                </c:pt>
                <c:pt idx="2">
                  <c:v>77</c:v>
                </c:pt>
                <c:pt idx="3">
                  <c:v>78</c:v>
                </c:pt>
                <c:pt idx="4">
                  <c:v>281</c:v>
                </c:pt>
                <c:pt idx="5">
                  <c:v>80</c:v>
                </c:pt>
              </c:numCache>
            </c:numRef>
          </c:val>
          <c:extLst>
            <c:ext xmlns:c16="http://schemas.microsoft.com/office/drawing/2014/chart" uri="{C3380CC4-5D6E-409C-BE32-E72D297353CC}">
              <c16:uniqueId val="{00000000-FD06-4C83-A3DF-0072C487A58D}"/>
            </c:ext>
          </c:extLst>
        </c:ser>
        <c:ser>
          <c:idx val="1"/>
          <c:order val="1"/>
          <c:tx>
            <c:strRef>
              <c:f>'Loan Type vs Churn'!$C$3:$C$4</c:f>
              <c:strCache>
                <c:ptCount val="1"/>
                <c:pt idx="0">
                  <c:v>Yes</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'Loan Type vs Churn'!$A$5:$A$11</c:f>
              <c:strCache>
                <c:ptCount val="6"/>
                <c:pt idx="0">
                  <c:v>Auto Loan</c:v>
                </c:pt>
                <c:pt idx="1">
                  <c:v>Credit Card Loan</c:v>
                </c:pt>
                <c:pt idx="2">
                  <c:v>Education Loan</c:v>
                </c:pt>
                <c:pt idx="3">
                  <c:v>Home Loan</c:v>
                </c:pt>
                <c:pt idx="4">
                  <c:v>None</c:v>
                </c:pt>
                <c:pt idx="5">
                  <c:v>Personal Loan</c:v>
                </c:pt>
              </c:strCache>
            </c:strRef>
          </c:cat>
          <c:val>
            <c:numRef>
              <c:f>'Loan Type vs Churn'!$C$5:$C$11</c:f>
              <c:numCache>
                <c:formatCode>General</c:formatCode>
                <c:ptCount val="6"/>
                <c:pt idx="0">
                  <c:v>11</c:v>
                </c:pt>
                <c:pt idx="1">
                  <c:v>7</c:v>
                </c:pt>
                <c:pt idx="2">
                  <c:v>14</c:v>
                </c:pt>
                <c:pt idx="3">
                  <c:v>23</c:v>
                </c:pt>
                <c:pt idx="4">
                  <c:v>64</c:v>
                </c:pt>
                <c:pt idx="5">
                  <c:v>17</c:v>
                </c:pt>
              </c:numCache>
            </c:numRef>
          </c:val>
          <c:extLst>
            <c:ext xmlns:c16="http://schemas.microsoft.com/office/drawing/2014/chart" uri="{C3380CC4-5D6E-409C-BE32-E72D297353CC}">
              <c16:uniqueId val="{00000001-70A3-4A15-B21D-861602242E96}"/>
            </c:ext>
          </c:extLst>
        </c:ser>
        <c:dLbls>
          <c:dLblPos val="ctr"/>
          <c:showLegendKey val="0"/>
          <c:showVal val="1"/>
          <c:showCatName val="0"/>
          <c:showSerName val="0"/>
          <c:showPercent val="0"/>
          <c:showBubbleSize val="0"/>
        </c:dLbls>
        <c:gapWidth val="150"/>
        <c:overlap val="100"/>
        <c:axId val="903823328"/>
        <c:axId val="903682448"/>
      </c:barChart>
      <c:catAx>
        <c:axId val="903823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03682448"/>
        <c:crosses val="autoZero"/>
        <c:auto val="1"/>
        <c:lblAlgn val="ctr"/>
        <c:lblOffset val="100"/>
        <c:noMultiLvlLbl val="0"/>
      </c:catAx>
      <c:valAx>
        <c:axId val="903682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03823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91E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[Banking Customer Analytics Dashboard.xlsx]Churn by Region!PivotTable1</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Churn by Region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hade val="53000"/>
            </a:schemeClr>
          </a:solidFill>
          <a:ln w="19050">
            <a:solidFill>
              <a:schemeClr val="lt1"/>
            </a:solidFill>
          </a:ln>
          <a:effectLst/>
        </c:spPr>
      </c:pivotFmt>
      <c:pivotFmt>
        <c:idx val="3"/>
        <c:spPr>
          <a:solidFill>
            <a:schemeClr val="accent3">
              <a:shade val="76000"/>
            </a:schemeClr>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tint val="77000"/>
            </a:schemeClr>
          </a:solidFill>
          <a:ln w="19050">
            <a:solidFill>
              <a:schemeClr val="lt1"/>
            </a:solidFill>
          </a:ln>
          <a:effectLst/>
        </c:spPr>
      </c:pivotFmt>
      <c:pivotFmt>
        <c:idx val="6"/>
        <c:spPr>
          <a:solidFill>
            <a:schemeClr val="accent3">
              <a:tint val="54000"/>
            </a:schemeClr>
          </a:solidFill>
          <a:ln w="19050">
            <a:solidFill>
              <a:schemeClr val="lt1"/>
            </a:solidFill>
          </a:ln>
          <a:effectLst/>
        </c:spPr>
      </c:pivotFmt>
      <c:pivotFmt>
        <c:idx val="7"/>
        <c:spPr>
          <a:solidFill>
            <a:schemeClr val="accent3">
              <a:shade val="53000"/>
            </a:schemeClr>
          </a:solidFill>
          <a:ln w="19050">
            <a:solidFill>
              <a:schemeClr val="lt1"/>
            </a:solidFill>
          </a:ln>
          <a:effectLst/>
        </c:spPr>
      </c:pivotFmt>
      <c:pivotFmt>
        <c:idx val="8"/>
        <c:spPr>
          <a:solidFill>
            <a:schemeClr val="accent3">
              <a:shade val="76000"/>
            </a:schemeClr>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3">
              <a:tint val="77000"/>
            </a:schemeClr>
          </a:solidFill>
          <a:ln w="19050">
            <a:solidFill>
              <a:schemeClr val="lt1"/>
            </a:solidFill>
          </a:ln>
          <a:effectLst/>
        </c:spPr>
      </c:pivotFmt>
      <c:pivotFmt>
        <c:idx val="11"/>
        <c:spPr>
          <a:solidFill>
            <a:schemeClr val="accent3">
              <a:tint val="54000"/>
            </a:schemeClr>
          </a:solidFill>
          <a:ln w="19050">
            <a:solidFill>
              <a:schemeClr val="lt1"/>
            </a:solidFill>
          </a:ln>
          <a:effectLst/>
        </c:spPr>
      </c:pivotFmt>
    </c:pivotFmts>
    <c:plotArea>
      <c:layout/>
      <c:pieChart>
        <c:varyColors val="1"/>
        <c:ser>
          <c:idx val="0"/>
          <c:order val="0"/>
          <c:tx>
            <c:strRef>
              <c:f>'Churn by Region'!$B$3:$B$4</c:f>
              <c:strCache>
                <c:ptCount val="1"/>
                <c:pt idx="0">
                  <c:v>No</c:v>
                </c:pt>
              </c:strCache>
            </c:strRef>
          </c:tx>
          <c:dPt>
            <c:idx val="0"/>
            <c:bubble3D val="0"/>
            <c:spPr>
              <a:solidFill>
                <a:schemeClr val="accent3">
                  <a:shade val="53000"/>
                </a:schemeClr>
              </a:solidFill>
              <a:ln w="19050">
                <a:solidFill>
                  <a:schemeClr val="lt1"/>
                </a:solidFill>
              </a:ln>
              <a:effectLst/>
            </c:spPr>
            <c:extLst>
              <c:ext xmlns:c16="http://schemas.microsoft.com/office/drawing/2014/chart" uri="{C3380CC4-5D6E-409C-BE32-E72D297353CC}">
                <c16:uniqueId val="{00000001-DABD-4374-940C-6876F91226EA}"/>
              </c:ext>
            </c:extLst>
          </c:dPt>
          <c:dPt>
            <c:idx val="1"/>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3-DABD-4374-940C-6876F91226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BD-4374-940C-6876F91226EA}"/>
              </c:ext>
            </c:extLst>
          </c:dPt>
          <c:dPt>
            <c:idx val="3"/>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7-DABD-4374-940C-6876F91226EA}"/>
              </c:ext>
            </c:extLst>
          </c:dPt>
          <c:dPt>
            <c:idx val="4"/>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09-DABD-4374-940C-6876F91226EA}"/>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'Churn by Region'!$A$5:$A$10</c:f>
              <c:strCache>
                <c:ptCount val="5"/>
                <c:pt idx="0">
                  <c:v>Central</c:v>
                </c:pt>
                <c:pt idx="1">
                  <c:v>East</c:v>
                </c:pt>
                <c:pt idx="2">
                  <c:v>North</c:v>
                </c:pt>
                <c:pt idx="3">
                  <c:v>South</c:v>
                </c:pt>
                <c:pt idx="4">
                  <c:v>West</c:v>
                </c:pt>
              </c:strCache>
            </c:strRef>
          </c:cat>
          <c:val>
            <c:numRef>
              <c:f>'Churn by Region'!$B$5:$B$10</c:f>
              <c:numCache>
                <c:formatCode>General</c:formatCode>
                <c:ptCount val="5"/>
                <c:pt idx="0">
                  <c:v>142</c:v>
                </c:pt>
                <c:pt idx="1">
                  <c:v>139</c:v>
                </c:pt>
                <c:pt idx="2">
                  <c:v>142</c:v>
                </c:pt>
                <c:pt idx="3">
                  <c:v>128</c:v>
                </c:pt>
                <c:pt idx="4">
                  <c:v>113</c:v>
                </c:pt>
              </c:numCache>
            </c:numRef>
          </c:val>
          <c:extLst>
            <c:ext xmlns:c16="http://schemas.microsoft.com/office/drawing/2014/chart" uri="{C3380CC4-5D6E-409C-BE32-E72D297353CC}">
              <c16:uniqueId val="{00000000-7366-4949-8D6D-ECFC86D272A9}"/>
            </c:ext>
          </c:extLst>
        </c:ser>
        <c:ser>
          <c:idx val="1"/>
          <c:order val="1"/>
          <c:tx>
            <c:strRef>
              <c:f>'Churn by Region'!$C$3:$C$4</c:f>
              <c:strCache>
                <c:ptCount val="1"/>
                <c:pt idx="0">
                  <c:v>Yes</c:v>
                </c:pt>
              </c:strCache>
            </c:strRef>
          </c:tx>
          <c:dPt>
            <c:idx val="0"/>
            <c:bubble3D val="0"/>
            <c:spPr>
              <a:solidFill>
                <a:schemeClr val="accent3">
                  <a:shade val="53000"/>
                </a:schemeClr>
              </a:solidFill>
              <a:ln w="19050">
                <a:solidFill>
                  <a:schemeClr val="lt1"/>
                </a:solidFill>
              </a:ln>
              <a:effectLst/>
            </c:spPr>
          </c:dPt>
          <c:dPt>
            <c:idx val="1"/>
            <c:bubble3D val="0"/>
            <c:spPr>
              <a:solidFill>
                <a:schemeClr val="accent3">
                  <a:shade val="76000"/>
                </a:schemeClr>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3">
                  <a:tint val="77000"/>
                </a:schemeClr>
              </a:solidFill>
              <a:ln w="19050">
                <a:solidFill>
                  <a:schemeClr val="lt1"/>
                </a:solidFill>
              </a:ln>
              <a:effectLst/>
            </c:spPr>
          </c:dPt>
          <c:dPt>
            <c:idx val="4"/>
            <c:bubble3D val="0"/>
            <c:spPr>
              <a:solidFill>
                <a:schemeClr val="accent3">
                  <a:tint val="54000"/>
                </a:schemeClr>
              </a:solidFill>
              <a:ln w="19050">
                <a:solidFill>
                  <a:schemeClr val="lt1"/>
                </a:solidFill>
              </a:ln>
              <a:effectLst/>
            </c:spPr>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'Churn by Region'!$A$5:$A$10</c:f>
              <c:strCache>
                <c:ptCount val="5"/>
                <c:pt idx="0">
                  <c:v>Central</c:v>
                </c:pt>
                <c:pt idx="1">
                  <c:v>East</c:v>
                </c:pt>
                <c:pt idx="2">
                  <c:v>North</c:v>
                </c:pt>
                <c:pt idx="3">
                  <c:v>South</c:v>
                </c:pt>
                <c:pt idx="4">
                  <c:v>West</c:v>
                </c:pt>
              </c:strCache>
            </c:strRef>
          </c:cat>
          <c:val>
            <c:numRef>
              <c:f>'Churn by Region'!$C$5:$C$10</c:f>
              <c:numCache>
                <c:formatCode>General</c:formatCode>
                <c:ptCount val="5"/>
                <c:pt idx="0">
                  <c:v>29</c:v>
                </c:pt>
                <c:pt idx="1">
                  <c:v>29</c:v>
                </c:pt>
                <c:pt idx="2">
                  <c:v>17</c:v>
                </c:pt>
                <c:pt idx="3">
                  <c:v>31</c:v>
                </c:pt>
                <c:pt idx="4">
                  <c:v>30</c:v>
                </c:pt>
              </c:numCache>
            </c:numRef>
          </c:val>
          <c:extLst>
            <c:ext xmlns:c16="http://schemas.microsoft.com/office/drawing/2014/chart" uri="{C3380CC4-5D6E-409C-BE32-E72D297353CC}">
              <c16:uniqueId val="{00000014-982A-4F00-AF01-3DA56BCFFCC3}"/>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[Banking Customer Analytics Dashboard.xlsx]Churn Rate by Credit Band!PivotTable2</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Churn Rate by Credit Band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Rate by Credit Band'!$B$3:$B$4</c:f>
              <c:strCache>
                <c:ptCount val="1"/>
                <c:pt idx="0">
                  <c:v>No</c:v>
                </c:pt>
              </c:strCache>
            </c:strRef>
          </c:tx>
          <c:spPr>
            <a:solidFill>
              <a:schemeClr val="accent3">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Rate by Credit Band'!$A$5:$A$10</c:f>
              <c:strCache>
                <c:ptCount val="5"/>
                <c:pt idx="0">
                  <c:v>Excellent</c:v>
                </c:pt>
                <c:pt idx="1">
                  <c:v>Fair</c:v>
                </c:pt>
                <c:pt idx="2">
                  <c:v>Good</c:v>
                </c:pt>
                <c:pt idx="3">
                  <c:v>Poor</c:v>
                </c:pt>
                <c:pt idx="4">
                  <c:v>Very Good</c:v>
                </c:pt>
              </c:strCache>
            </c:strRef>
          </c:cat>
          <c:val>
            <c:numRef>
              <c:f>'Churn Rate by Credit Band'!$B$5:$B$10</c:f>
              <c:numCache>
                <c:formatCode>General</c:formatCode>
                <c:ptCount val="5"/>
                <c:pt idx="0">
                  <c:v>60</c:v>
                </c:pt>
                <c:pt idx="1">
                  <c:v>208</c:v>
                </c:pt>
                <c:pt idx="2">
                  <c:v>205</c:v>
                </c:pt>
                <c:pt idx="3">
                  <c:v>84</c:v>
                </c:pt>
                <c:pt idx="4">
                  <c:v>107</c:v>
                </c:pt>
              </c:numCache>
            </c:numRef>
          </c:val>
          <c:extLst>
            <c:ext xmlns:c16="http://schemas.microsoft.com/office/drawing/2014/chart" uri="{C3380CC4-5D6E-409C-BE32-E72D297353CC}">
              <c16:uniqueId val="{00000000-F8B5-44EE-A89A-FD3F814867A4}"/>
            </c:ext>
          </c:extLst>
        </c:ser>
        <c:ser>
          <c:idx val="1"/>
          <c:order val="1"/>
          <c:tx>
            <c:strRef>
              <c:f>'Churn Rate by Credit Band'!$C$3:$C$4</c:f>
              <c:strCache>
                <c:ptCount val="1"/>
                <c:pt idx="0">
                  <c:v>Yes</c:v>
                </c:pt>
              </c:strCache>
            </c:strRef>
          </c:tx>
          <c:spPr>
            <a:solidFill>
              <a:schemeClr val="accent3">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Rate by Credit Band'!$A$5:$A$10</c:f>
              <c:strCache>
                <c:ptCount val="5"/>
                <c:pt idx="0">
                  <c:v>Excellent</c:v>
                </c:pt>
                <c:pt idx="1">
                  <c:v>Fair</c:v>
                </c:pt>
                <c:pt idx="2">
                  <c:v>Good</c:v>
                </c:pt>
                <c:pt idx="3">
                  <c:v>Poor</c:v>
                </c:pt>
                <c:pt idx="4">
                  <c:v>Very Good</c:v>
                </c:pt>
              </c:strCache>
            </c:strRef>
          </c:cat>
          <c:val>
            <c:numRef>
              <c:f>'Churn Rate by Credit Band'!$C$5:$C$10</c:f>
              <c:numCache>
                <c:formatCode>General</c:formatCode>
                <c:ptCount val="5"/>
                <c:pt idx="0">
                  <c:v>16</c:v>
                </c:pt>
                <c:pt idx="1">
                  <c:v>45</c:v>
                </c:pt>
                <c:pt idx="2">
                  <c:v>31</c:v>
                </c:pt>
                <c:pt idx="3">
                  <c:v>25</c:v>
                </c:pt>
                <c:pt idx="4">
                  <c:v>19</c:v>
                </c:pt>
              </c:numCache>
            </c:numRef>
          </c:val>
          <c:extLst>
            <c:ext xmlns:c16="http://schemas.microsoft.com/office/drawing/2014/chart" uri="{C3380CC4-5D6E-409C-BE32-E72D297353CC}">
              <c16:uniqueId val="{00000000-D9C5-4E33-9390-9441D0053EA0}"/>
            </c:ext>
          </c:extLst>
        </c:ser>
        <c:dLbls>
          <c:dLblPos val="outEnd"/>
          <c:showLegendKey val="0"/>
          <c:showVal val="1"/>
          <c:showCatName val="0"/>
          <c:showSerName val="0"/>
          <c:showPercent val="0"/>
          <c:showBubbleSize val="0"/>
        </c:dLbls>
        <c:gapWidth val="219"/>
        <c:overlap val="-27"/>
        <c:axId val="862954032"/>
        <c:axId val="667720368"/>
      </c:barChart>
      <c:catAx>
        <c:axId val="862954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67720368"/>
        <c:crosses val="autoZero"/>
        <c:auto val="1"/>
        <c:lblAlgn val="ctr"/>
        <c:lblOffset val="100"/>
        <c:noMultiLvlLbl val="0"/>
      </c:catAx>
      <c:valAx>
        <c:axId val="6677203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62954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[Banking Customer Analytics Dashboard.xlsx]Balance &amp; Income by Account Typ!PivotTable3</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Balance &amp; Income by Account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'Balance &amp; Income by Account Typ'!$B$3</c:f>
              <c:strCache>
                <c:ptCount val="1"/>
                <c:pt idx="0">
                  <c:v>Average of AccountBalance</c:v>
                </c:pt>
              </c:strCache>
            </c:strRef>
          </c:tx>
          <c:spPr>
            <a:solidFill>
              <a:schemeClr val="accent3">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'Balance &amp; Income by Account Typ'!$A$4:$A$9</c:f>
              <c:strCache>
                <c:ptCount val="5"/>
                <c:pt idx="0">
                  <c:v>Current</c:v>
                </c:pt>
                <c:pt idx="1">
                  <c:v>Fixed Deposit</c:v>
                </c:pt>
                <c:pt idx="2">
                  <c:v>NRI</c:v>
                </c:pt>
                <c:pt idx="3">
                  <c:v>Salary</c:v>
                </c:pt>
                <c:pt idx="4">
                  <c:v>Savings</c:v>
                </c:pt>
              </c:strCache>
            </c:strRef>
          </c:cat>
          <c:val>
            <c:numRef>
              <c:f>'Balance &amp; Income by Account Typ'!$B$4:$B$9</c:f>
              <c:numCache>
                <c:formatCode>General</c:formatCode>
                <c:ptCount val="5"/>
                <c:pt idx="0">
                  <c:v>47645.405449438214</c:v>
                </c:pt>
                <c:pt idx="1">
                  <c:v>54156.479819819819</c:v>
                </c:pt>
                <c:pt idx="2">
                  <c:v>56562.543472222234</c:v>
                </c:pt>
                <c:pt idx="3">
                  <c:v>55727.736666666679</c:v>
                </c:pt>
                <c:pt idx="4">
                  <c:v>57559.869342560567</c:v>
                </c:pt>
              </c:numCache>
            </c:numRef>
          </c:val>
          <c:extLst>
            <c:ext xmlns:c16="http://schemas.microsoft.com/office/drawing/2014/chart" uri="{C3380CC4-5D6E-409C-BE32-E72D297353CC}">
              <c16:uniqueId val="{00000000-FDE4-43F2-9816-2B5A674811D5}"/>
            </c:ext>
          </c:extLst>
        </c:ser>
        <c:ser>
          <c:idx val="1"/>
          <c:order val="1"/>
          <c:tx>
            <c:strRef>
              <c:f>'Balance &amp; Income by Account Typ'!$C$3</c:f>
              <c:strCache>
                <c:ptCount val="1"/>
                <c:pt idx="0">
                  <c:v>Average of MonthlyIncome</c:v>
                </c:pt>
              </c:strCache>
            </c:strRef>
          </c:tx>
          <c:spPr>
            <a:solidFill>
              <a:schemeClr val="accent3">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'Balance &amp; Income by Account Typ'!$A$4:$A$9</c:f>
              <c:strCache>
                <c:ptCount val="5"/>
                <c:pt idx="0">
                  <c:v>Current</c:v>
                </c:pt>
                <c:pt idx="1">
                  <c:v>Fixed Deposit</c:v>
                </c:pt>
                <c:pt idx="2">
                  <c:v>NRI</c:v>
                </c:pt>
                <c:pt idx="3">
                  <c:v>Salary</c:v>
                </c:pt>
                <c:pt idx="4">
                  <c:v>Savings</c:v>
                </c:pt>
              </c:strCache>
            </c:strRef>
          </c:cat>
          <c:val>
            <c:numRef>
              <c:f>'Balance &amp; Income by Account Typ'!$C$4:$C$9</c:f>
              <c:numCache>
                <c:formatCode>General</c:formatCode>
                <c:ptCount val="5"/>
                <c:pt idx="0">
                  <c:v>44012.968202247182</c:v>
                </c:pt>
                <c:pt idx="1">
                  <c:v>44086.945945945918</c:v>
                </c:pt>
                <c:pt idx="2">
                  <c:v>42077.037777777768</c:v>
                </c:pt>
                <c:pt idx="3">
                  <c:v>43690.73579999998</c:v>
                </c:pt>
                <c:pt idx="4">
                  <c:v>46058.044256055386</c:v>
                </c:pt>
              </c:numCache>
            </c:numRef>
          </c:val>
          <c:extLst>
            <c:ext xmlns:c16="http://schemas.microsoft.com/office/drawing/2014/chart" uri="{C3380CC4-5D6E-409C-BE32-E72D297353CC}">
              <c16:uniqueId val="{00000001-FDE4-43F2-9816-2B5A674811D5}"/>
            </c:ext>
          </c:extLst>
        </c:ser>
        <c:dLbls>
          <c:dLblPos val="outEnd"/>
          <c:showLegendKey val="0"/>
          <c:showVal val="1"/>
          <c:showCatName val="0"/>
          <c:showSerName val="0"/>
          <c:showPercent val="0"/>
          <c:showBubbleSize val="0"/>
        </c:dLbls>
        <c:gapWidth val="219"/>
        <c:overlap val="-27"/>
        <c:axId val="899340656"/>
        <c:axId val="667794288"/>
      </c:barChart>
      <c:catAx>
        <c:axId val="89934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67794288"/>
        <c:crosses val="autoZero"/>
        <c:auto val="1"/>
        <c:lblAlgn val="ctr"/>
        <c:lblOffset val="100"/>
        <c:noMultiLvlLbl val="0"/>
      </c:catAx>
      <c:valAx>
        <c:axId val="667794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9934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[Banking Customer Analytics Dashboard.xlsx]Satisfaction Distribution!PivotTable4</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Satisfaction Distribution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hade val="53000"/>
            </a:schemeClr>
          </a:solidFill>
          <a:ln w="19050">
            <a:solidFill>
              <a:schemeClr val="lt1"/>
            </a:solidFill>
          </a:ln>
          <a:effectLst/>
        </c:spPr>
      </c:pivotFmt>
      <c:pivotFmt>
        <c:idx val="2"/>
        <c:spPr>
          <a:solidFill>
            <a:schemeClr val="accent3">
              <a:shade val="76000"/>
            </a:schemeClr>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tint val="77000"/>
            </a:schemeClr>
          </a:solidFill>
          <a:ln w="19050">
            <a:solidFill>
              <a:schemeClr val="lt1"/>
            </a:solidFill>
          </a:ln>
          <a:effectLst/>
        </c:spPr>
      </c:pivotFmt>
      <c:pivotFmt>
        <c:idx val="5"/>
        <c:spPr>
          <a:solidFill>
            <a:schemeClr val="accent3">
              <a:tint val="54000"/>
            </a:schemeClr>
          </a:solidFill>
          <a:ln w="19050">
            <a:solidFill>
              <a:schemeClr val="lt1"/>
            </a:solidFill>
          </a:ln>
          <a:effectLst/>
        </c:spPr>
      </c:pivotFmt>
    </c:pivotFmts>
    <c:plotArea>
      <c:layout/>
      <c:doughnutChart>
        <c:varyColors val="1"/>
        <c:ser>
          <c:idx val="0"/>
          <c:order val="0"/>
          <c:tx>
            <c:strRef>
              <c:f>'Satisfaction Distribution'!$B$3</c:f>
              <c:strCache>
                <c:ptCount val="1"/>
                <c:pt idx="0">
                  <c:v>Total</c:v>
                </c:pt>
              </c:strCache>
            </c:strRef>
          </c:tx>
          <c:dPt>
            <c:idx val="0"/>
            <c:bubble3D val="0"/>
            <c:spPr>
              <a:solidFill>
                <a:schemeClr val="accent3">
                  <a:shade val="53000"/>
                </a:schemeClr>
              </a:solidFill>
              <a:ln w="19050">
                <a:solidFill>
                  <a:schemeClr val="lt1"/>
                </a:solidFill>
              </a:ln>
              <a:effectLst/>
            </c:spPr>
            <c:extLst>
              <c:ext xmlns:c16="http://schemas.microsoft.com/office/drawing/2014/chart" uri="{C3380CC4-5D6E-409C-BE32-E72D297353CC}">
                <c16:uniqueId val="{00000001-A2C0-4115-8CD2-B14CFB96C935}"/>
              </c:ext>
            </c:extLst>
          </c:dPt>
          <c:dPt>
            <c:idx val="1"/>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3-A2C0-4115-8CD2-B14CFB96C9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C0-4115-8CD2-B14CFB96C935}"/>
              </c:ext>
            </c:extLst>
          </c:dPt>
          <c:dPt>
            <c:idx val="3"/>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7-A2C0-4115-8CD2-B14CFB96C935}"/>
              </c:ext>
            </c:extLst>
          </c:dPt>
          <c:dPt>
            <c:idx val="4"/>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09-A2C0-4115-8CD2-B14CFB96C93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'Satisfaction Distribution'!$A$4:$A$9</c:f>
              <c:strCache>
                <c:ptCount val="5"/>
                <c:pt idx="0">
                  <c:v>Dissatisfied</c:v>
                </c:pt>
                <c:pt idx="1">
                  <c:v>Neutral</c:v>
                </c:pt>
                <c:pt idx="2">
                  <c:v>Satisfied</c:v>
                </c:pt>
                <c:pt idx="3">
                  <c:v>Very Dissatisfied</c:v>
                </c:pt>
                <c:pt idx="4">
                  <c:v>Very Satisfied</c:v>
                </c:pt>
              </c:strCache>
            </c:strRef>
          </c:cat>
          <c:val>
            <c:numRef>
              <c:f>'Satisfaction Distribution'!$B$4:$B$9</c:f>
              <c:numCache>
                <c:formatCode>General</c:formatCode>
                <c:ptCount val="5"/>
                <c:pt idx="0">
                  <c:v>103</c:v>
                </c:pt>
                <c:pt idx="1">
                  <c:v>223</c:v>
                </c:pt>
                <c:pt idx="2">
                  <c:v>280</c:v>
                </c:pt>
                <c:pt idx="3">
                  <c:v>81</c:v>
                </c:pt>
                <c:pt idx="4">
                  <c:v>113</c:v>
                </c:pt>
              </c:numCache>
            </c:numRef>
          </c:val>
          <c:extLst>
            <c:ext xmlns:c16="http://schemas.microsoft.com/office/drawing/2014/chart" uri="{C3380CC4-5D6E-409C-BE32-E72D297353CC}">
              <c16:uniqueId val="{00000000-2836-4E2D-B5DD-4E828290539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[Banking Customer Analytics Dashboard.xlsx]Complaints vs Churn!PivotTable5</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Complaints vs Churn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3"/>
            </a:solidFill>
            <a:round/>
          </a:ln>
          <a:effectLst/>
        </c:spPr>
        <c:marker>
          <c:symbol val="circle"/>
          <c:size val="5"/>
          <c:spPr>
            <a:solidFill>
              <a:schemeClr val="accent3">
                <a:shade val="76000"/>
              </a:schemeClr>
            </a:solidFill>
            <a:ln w="9525">
              <a:solidFill>
                <a:schemeClr val="accent3">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3"/>
            </a:solidFill>
            <a:round/>
          </a:ln>
          <a:effectLst/>
        </c:spPr>
        <c:marker>
          <c:symbol val="circle"/>
          <c:size val="5"/>
          <c:spPr>
            <a:solidFill>
              <a:schemeClr val="accent3">
                <a:tint val="77000"/>
              </a:schemeClr>
            </a:solidFill>
            <a:ln w="9525">
              <a:solidFill>
                <a:schemeClr val="accent3">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tint val="77000"/>
              </a:schemeClr>
            </a:solidFill>
            <a:ln w="9525">
              <a:solidFill>
                <a:schemeClr val="accent3">
                  <a:tint val="77000"/>
                </a:schemeClr>
              </a:solidFill>
            </a:ln>
            <a:effectLst/>
          </c:spPr>
        </c:marker>
        <c:dLbl>
          <c:idx val="0"/>
          <c:layout>
            <c:manualLayout>
              <c:x val="3.5944444444444446E-2"/>
              <c:y val="-8.09838874307379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3"/>
            </a:solidFill>
            <a:round/>
          </a:ln>
          <a:effectLst/>
        </c:spPr>
        <c:marker>
          <c:symbol val="circle"/>
          <c:size val="5"/>
          <c:spPr>
            <a:solidFill>
              <a:schemeClr val="accent3">
                <a:tint val="77000"/>
              </a:schemeClr>
            </a:solidFill>
            <a:ln w="9525">
              <a:solidFill>
                <a:schemeClr val="accent3">
                  <a:tint val="77000"/>
                </a:schemeClr>
              </a:solidFill>
            </a:ln>
            <a:effectLst/>
          </c:spPr>
        </c:marker>
        <c:dLbl>
          <c:idx val="0"/>
          <c:layout>
            <c:manualLayout>
              <c:x val="8.9444444444444441E-3"/>
              <c:y val="-5.32061096529602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'Complaints vs Churn'!$B$3:$B$4</c:f>
              <c:strCache>
                <c:ptCount val="1"/>
                <c:pt idx="0">
                  <c:v>No</c:v>
                </c:pt>
              </c:strCache>
            </c:strRef>
          </c:tx>
          <c:spPr>
            <a:ln w="28575" cap="rnd">
              <a:solidFill>
                <a:schemeClr val="accent3">
                  <a:shade val="76000"/>
                </a:schemeClr>
              </a:solidFill>
              <a:round/>
            </a:ln>
            <a:effectLst/>
          </c:spPr>
          <c:marker>
            <c:symbol val="circle"/>
            <c:size val="5"/>
            <c:spPr>
              <a:solidFill>
                <a:schemeClr val="accent3">
                  <a:shade val="76000"/>
                </a:schemeClr>
              </a:solidFill>
              <a:ln w="9525">
                <a:solidFill>
                  <a:schemeClr val="accent3">
                    <a:shade val="76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'Complaints vs Churn'!$A$5:$A$10</c:f>
              <c:strCache>
                <c:ptCount val="5"/>
                <c:pt idx="0">
                  <c:v>0</c:v>
                </c:pt>
                <c:pt idx="1">
                  <c:v>1</c:v>
                </c:pt>
                <c:pt idx="2">
                  <c:v>2</c:v>
                </c:pt>
                <c:pt idx="3">
                  <c:v>3</c:v>
                </c:pt>
                <c:pt idx="4">
                  <c:v>4</c:v>
                </c:pt>
              </c:strCache>
            </c:strRef>
          </c:cat>
          <c:val>
            <c:numRef>
              <c:f>'Complaints vs Churn'!$B$5:$B$10</c:f>
              <c:numCache>
                <c:formatCode>General</c:formatCode>
                <c:ptCount val="5"/>
                <c:pt idx="0">
                  <c:v>376</c:v>
                </c:pt>
                <c:pt idx="1">
                  <c:v>165</c:v>
                </c:pt>
                <c:pt idx="2">
                  <c:v>65</c:v>
                </c:pt>
                <c:pt idx="3">
                  <c:v>39</c:v>
                </c:pt>
                <c:pt idx="4">
                  <c:v>19</c:v>
                </c:pt>
              </c:numCache>
            </c:numRef>
          </c:val>
          <c:smooth val="0"/>
          <c:extLst>
            <c:ext xmlns:c16="http://schemas.microsoft.com/office/drawing/2014/chart" uri="{C3380CC4-5D6E-409C-BE32-E72D297353CC}">
              <c16:uniqueId val="{00000000-3A47-4123-A6A6-46C460213912}"/>
            </c:ext>
          </c:extLst>
        </c:ser>
        <c:ser>
          <c:idx val="1"/>
          <c:order val="1"/>
          <c:tx>
            <c:strRef>
              <c:f>'Complaints vs Churn'!$C$3:$C$4</c:f>
              <c:strCache>
                <c:ptCount val="1"/>
                <c:pt idx="0">
                  <c:v>Yes</c:v>
                </c:pt>
              </c:strCache>
            </c:strRef>
          </c:tx>
          <c:spPr>
            <a:ln w="28575" cap="rnd">
              <a:solidFill>
                <a:schemeClr val="accent3">
                  <a:tint val="77000"/>
                </a:schemeClr>
              </a:solidFill>
              <a:round/>
            </a:ln>
            <a:effectLst/>
          </c:spPr>
          <c:marker>
            <c:symbol val="circle"/>
            <c:size val="5"/>
            <c:spPr>
              <a:solidFill>
                <a:schemeClr val="accent3">
                  <a:tint val="77000"/>
                </a:schemeClr>
              </a:solidFill>
              <a:ln w="9525">
                <a:solidFill>
                  <a:schemeClr val="accent3">
                    <a:tint val="77000"/>
                  </a:schemeClr>
                </a:solidFill>
              </a:ln>
              <a:effectLst/>
            </c:spPr>
          </c:marker>
          <c:dPt>
            <c:idx val="3"/>
            <c:marker>
              <c:symbol val="circle"/>
              <c:size val="5"/>
              <c:spPr>
                <a:solidFill>
                  <a:schemeClr val="accent3">
                    <a:tint val="77000"/>
                  </a:schemeClr>
                </a:solidFill>
                <a:ln w="9525">
                  <a:solidFill>
                    <a:schemeClr val="accent3">
                      <a:tint val="77000"/>
                    </a:schemeClr>
                  </a:solidFill>
                </a:ln>
                <a:effectLst/>
              </c:spPr>
            </c:marker>
            <c:bubble3D val="0"/>
          </c:dPt>
          <c:dPt>
            <c:idx val="4"/>
            <c:marker>
              <c:symbol val="circle"/>
              <c:size val="5"/>
              <c:spPr>
                <a:solidFill>
                  <a:schemeClr val="accent3">
                    <a:tint val="77000"/>
                  </a:schemeClr>
                </a:solidFill>
                <a:ln w="9525">
                  <a:solidFill>
                    <a:schemeClr val="accent3">
                      <a:tint val="77000"/>
                    </a:schemeClr>
                  </a:solidFill>
                </a:ln>
                <a:effectLst/>
              </c:spPr>
            </c:marker>
            <c:bubble3D val="0"/>
          </c:dPt>
          <c:dLbls>
            <c:dLbl>
              <c:idx val="3"/>
              <c:layout>
                <c:manualLayout>
                  <c:x val="3.5944444444444446E-2"/>
                  <c:y val="-8.0983887430737908E-2"/>
                </c:manualLayout>
              </c:layout>
              <c:dLblPos val="r"/>
              <c:showLegendKey val="0"/>
              <c:showVal val="1"/>
              <c:showCatName val="0"/>
              <c:showSerName val="0"/>
              <c:showPercent val="0"/>
              <c:showBubbleSize val="0"/>
              <c:extLst>
                <c:ext xmlns:c15="http://schemas.microsoft.com/office/drawing/2012/chart" uri="{CE6537A1-D6FC-4f65-9D91-7224C49458BB}"/>
              </c:extLst>
            </c:dLbl>
            <c:dLbl>
              <c:idx val="4"/>
              <c:layout>
                <c:manualLayout>
                  <c:x val="8.9444444444444441E-3"/>
                  <c:y val="-5.3206109652960215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'Complaints vs Churn'!$A$5:$A$10</c:f>
              <c:strCache>
                <c:ptCount val="5"/>
                <c:pt idx="0">
                  <c:v>0</c:v>
                </c:pt>
                <c:pt idx="1">
                  <c:v>1</c:v>
                </c:pt>
                <c:pt idx="2">
                  <c:v>2</c:v>
                </c:pt>
                <c:pt idx="3">
                  <c:v>3</c:v>
                </c:pt>
                <c:pt idx="4">
                  <c:v>4</c:v>
                </c:pt>
              </c:strCache>
            </c:strRef>
          </c:cat>
          <c:val>
            <c:numRef>
              <c:f>'Complaints vs Churn'!$C$5:$C$10</c:f>
              <c:numCache>
                <c:formatCode>General</c:formatCode>
                <c:ptCount val="5"/>
                <c:pt idx="0">
                  <c:v>65</c:v>
                </c:pt>
                <c:pt idx="1">
                  <c:v>23</c:v>
                </c:pt>
                <c:pt idx="2">
                  <c:v>26</c:v>
                </c:pt>
                <c:pt idx="3">
                  <c:v>17</c:v>
                </c:pt>
                <c:pt idx="4">
                  <c:v>5</c:v>
                </c:pt>
              </c:numCache>
            </c:numRef>
          </c:val>
          <c:smooth val="0"/>
          <c:extLst>
            <c:ext xmlns:c16="http://schemas.microsoft.com/office/drawing/2014/chart" uri="{C3380CC4-5D6E-409C-BE32-E72D297353CC}">
              <c16:uniqueId val="{00000002-FAE9-430C-9021-C820C235D829}"/>
            </c:ext>
          </c:extLst>
        </c:ser>
        <c:dLbls>
          <c:dLblPos val="t"/>
          <c:showLegendKey val="0"/>
          <c:showVal val="1"/>
          <c:showCatName val="0"/>
          <c:showSerName val="0"/>
          <c:showPercent val="0"/>
          <c:showBubbleSize val="0"/>
        </c:dLbls>
        <c:marker val="1"/>
        <c:smooth val="0"/>
        <c:axId val="902309200"/>
        <c:axId val="903657008"/>
      </c:lineChart>
      <c:catAx>
        <c:axId val="90230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03657008"/>
        <c:crosses val="autoZero"/>
        <c:auto val="1"/>
        <c:lblAlgn val="ctr"/>
        <c:lblOffset val="100"/>
        <c:noMultiLvlLbl val="0"/>
      </c:catAx>
      <c:valAx>
        <c:axId val="903657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02309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[Banking Customer Analytics Dashboard.xlsx]Loan Type vs Churn!PivotTable6</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Loan Type vs Churn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'Loan Type vs Churn'!$B$3:$B$4</c:f>
              <c:strCache>
                <c:ptCount val="1"/>
                <c:pt idx="0">
                  <c:v>No</c:v>
                </c:pt>
              </c:strCache>
            </c:strRef>
          </c:tx>
          <c:spPr>
            <a:solidFill>
              <a:schemeClr val="accent3">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'Loan Type vs Churn'!$A$5:$A$11</c:f>
              <c:strCache>
                <c:ptCount val="6"/>
                <c:pt idx="0">
                  <c:v>Auto Loan</c:v>
                </c:pt>
                <c:pt idx="1">
                  <c:v>Credit Card Loan</c:v>
                </c:pt>
                <c:pt idx="2">
                  <c:v>Education Loan</c:v>
                </c:pt>
                <c:pt idx="3">
                  <c:v>Home Loan</c:v>
                </c:pt>
                <c:pt idx="4">
                  <c:v>None</c:v>
                </c:pt>
                <c:pt idx="5">
                  <c:v>Personal Loan</c:v>
                </c:pt>
              </c:strCache>
            </c:strRef>
          </c:cat>
          <c:val>
            <c:numRef>
              <c:f>'Loan Type vs Churn'!$B$5:$B$11</c:f>
              <c:numCache>
                <c:formatCode>General</c:formatCode>
                <c:ptCount val="6"/>
                <c:pt idx="0">
                  <c:v>75</c:v>
                </c:pt>
                <c:pt idx="1">
                  <c:v>73</c:v>
                </c:pt>
                <c:pt idx="2">
                  <c:v>77</c:v>
                </c:pt>
                <c:pt idx="3">
                  <c:v>78</c:v>
                </c:pt>
                <c:pt idx="4">
                  <c:v>281</c:v>
                </c:pt>
                <c:pt idx="5">
                  <c:v>80</c:v>
                </c:pt>
              </c:numCache>
            </c:numRef>
          </c:val>
          <c:extLst>
            <c:ext xmlns:c16="http://schemas.microsoft.com/office/drawing/2014/chart" uri="{C3380CC4-5D6E-409C-BE32-E72D297353CC}">
              <c16:uniqueId val="{00000000-658A-4C66-8546-D8D941BB24A2}"/>
            </c:ext>
          </c:extLst>
        </c:ser>
        <c:ser>
          <c:idx val="1"/>
          <c:order val="1"/>
          <c:tx>
            <c:strRef>
              <c:f>'Loan Type vs Churn'!$C$3:$C$4</c:f>
              <c:strCache>
                <c:ptCount val="1"/>
                <c:pt idx="0">
                  <c:v>Yes</c:v>
                </c:pt>
              </c:strCache>
            </c:strRef>
          </c:tx>
          <c:spPr>
            <a:solidFill>
              <a:schemeClr val="accent3">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'Loan Type vs Churn'!$A$5:$A$11</c:f>
              <c:strCache>
                <c:ptCount val="6"/>
                <c:pt idx="0">
                  <c:v>Auto Loan</c:v>
                </c:pt>
                <c:pt idx="1">
                  <c:v>Credit Card Loan</c:v>
                </c:pt>
                <c:pt idx="2">
                  <c:v>Education Loan</c:v>
                </c:pt>
                <c:pt idx="3">
                  <c:v>Home Loan</c:v>
                </c:pt>
                <c:pt idx="4">
                  <c:v>None</c:v>
                </c:pt>
                <c:pt idx="5">
                  <c:v>Personal Loan</c:v>
                </c:pt>
              </c:strCache>
            </c:strRef>
          </c:cat>
          <c:val>
            <c:numRef>
              <c:f>'Loan Type vs Churn'!$C$5:$C$11</c:f>
              <c:numCache>
                <c:formatCode>General</c:formatCode>
                <c:ptCount val="6"/>
                <c:pt idx="0">
                  <c:v>11</c:v>
                </c:pt>
                <c:pt idx="1">
                  <c:v>7</c:v>
                </c:pt>
                <c:pt idx="2">
                  <c:v>14</c:v>
                </c:pt>
                <c:pt idx="3">
                  <c:v>23</c:v>
                </c:pt>
                <c:pt idx="4">
                  <c:v>64</c:v>
                </c:pt>
                <c:pt idx="5">
                  <c:v>17</c:v>
                </c:pt>
              </c:numCache>
            </c:numRef>
          </c:val>
          <c:extLst>
            <c:ext xmlns:c16="http://schemas.microsoft.com/office/drawing/2014/chart" uri="{C3380CC4-5D6E-409C-BE32-E72D297353CC}">
              <c16:uniqueId val="{00000000-20A1-424E-BB34-05EB97587A84}"/>
            </c:ext>
          </c:extLst>
        </c:ser>
        <c:dLbls>
          <c:dLblPos val="ctr"/>
          <c:showLegendKey val="0"/>
          <c:showVal val="1"/>
          <c:showCatName val="0"/>
          <c:showSerName val="0"/>
          <c:showPercent val="0"/>
          <c:showBubbleSize val="0"/>
        </c:dLbls>
        <c:gapWidth val="150"/>
        <c:overlap val="100"/>
        <c:axId val="903823328"/>
        <c:axId val="903682448"/>
      </c:barChart>
      <c:catAx>
        <c:axId val="903823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03682448"/>
        <c:crosses val="autoZero"/>
        <c:auto val="1"/>
        <c:lblAlgn val="ctr"/>
        <c:lblOffset val="100"/>
        <c:noMultiLvlLbl val="0"/>
      </c:catAx>
      <c:valAx>
        <c:axId val="903682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03823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472440</xdr:colOff>
      <xdr:row>1</xdr:row>
      <xdr:rowOff>144780</xdr:rowOff>
    </xdr:from>
    <xdr:to>
      <xdr:col>6</xdr:col>
      <xdr:colOff>220980</xdr:colOff>
      <xdr:row>5</xdr:row>
      <xdr:rowOff>0</xdr:rowOff>
    </xdr:to>
    <xdr:sp macro="" textlink="">
      <xdr:nvSpPr>
        <xdr:cNvPr id="3" name="Rectangle: Rounded Corners 2">
          <a:extLst>
            <a:ext uri="{FF2B5EF4-FFF2-40B4-BE49-F238E27FC236}">
              <a16:creationId xmlns:a16="http://schemas.microsoft.com/office/drawing/2014/main" id="{475AACDF-2DD4-B808-A68D-FB97ECB2ACF4}"/>
            </a:ext>
          </a:extLst>
        </xdr:cNvPr>
        <xdr:cNvSpPr/>
      </xdr:nvSpPr>
      <xdr:spPr>
        <a:xfrm>
          <a:off x="2301240" y="582930"/>
          <a:ext cx="1577340" cy="579120"/>
        </a:xfrm>
        <a:prstGeom prst="roundRect">
          <a:avLst/>
        </a:prstGeom>
        <a:solidFill>
          <a:srgbClr val="FCE4EC"/>
        </a:solidFill>
        <a:effectLst>
          <a:reflection blurRad="6350" stA="52000" endA="300" endPos="35000" dir="5400000" sy="-100000" algn="bl" rotWithShape="0"/>
        </a:effectLst>
        <a:scene3d>
          <a:camera prst="orthographicFront"/>
          <a:lightRig rig="threePt" dir="t"/>
        </a:scene3d>
        <a:sp3d>
          <a:bevelT/>
        </a:sp3d>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146685</xdr:colOff>
      <xdr:row>1</xdr:row>
      <xdr:rowOff>152400</xdr:rowOff>
    </xdr:from>
    <xdr:to>
      <xdr:col>10</xdr:col>
      <xdr:colOff>504825</xdr:colOff>
      <xdr:row>5</xdr:row>
      <xdr:rowOff>7620</xdr:rowOff>
    </xdr:to>
    <xdr:sp macro="" textlink="">
      <xdr:nvSpPr>
        <xdr:cNvPr id="4" name="Rectangle: Rounded Corners 3">
          <a:extLst>
            <a:ext uri="{FF2B5EF4-FFF2-40B4-BE49-F238E27FC236}">
              <a16:creationId xmlns:a16="http://schemas.microsoft.com/office/drawing/2014/main" id="{40E4A0F2-59A2-450D-85B0-6DC1745C1418}"/>
            </a:ext>
          </a:extLst>
        </xdr:cNvPr>
        <xdr:cNvSpPr/>
      </xdr:nvSpPr>
      <xdr:spPr>
        <a:xfrm>
          <a:off x="5023485" y="590550"/>
          <a:ext cx="1577340" cy="579120"/>
        </a:xfrm>
        <a:prstGeom prst="roundRect">
          <a:avLst/>
        </a:prstGeom>
        <a:solidFill>
          <a:srgbClr val="FCE4EC"/>
        </a:solidFill>
        <a:effectLst>
          <a:reflection blurRad="6350" stA="52000" endA="300" endPos="35000" dir="5400000" sy="-100000" algn="bl" rotWithShape="0"/>
        </a:effectLst>
        <a:scene3d>
          <a:camera prst="orthographicFront"/>
          <a:lightRig rig="threePt" dir="t"/>
        </a:scene3d>
        <a:sp3d>
          <a:bevelT/>
        </a:sp3d>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337185</xdr:colOff>
      <xdr:row>1</xdr:row>
      <xdr:rowOff>154305</xdr:rowOff>
    </xdr:from>
    <xdr:to>
      <xdr:col>15</xdr:col>
      <xdr:colOff>85725</xdr:colOff>
      <xdr:row>5</xdr:row>
      <xdr:rowOff>9525</xdr:rowOff>
    </xdr:to>
    <xdr:sp macro="" textlink="">
      <xdr:nvSpPr>
        <xdr:cNvPr id="5" name="Rectangle: Rounded Corners 4">
          <a:extLst>
            <a:ext uri="{FF2B5EF4-FFF2-40B4-BE49-F238E27FC236}">
              <a16:creationId xmlns:a16="http://schemas.microsoft.com/office/drawing/2014/main" id="{AA27F9D4-34DB-4AB9-BB68-8688BE74B9D5}"/>
            </a:ext>
          </a:extLst>
        </xdr:cNvPr>
        <xdr:cNvSpPr/>
      </xdr:nvSpPr>
      <xdr:spPr>
        <a:xfrm>
          <a:off x="7652385" y="592455"/>
          <a:ext cx="1577340" cy="579120"/>
        </a:xfrm>
        <a:prstGeom prst="roundRect">
          <a:avLst/>
        </a:prstGeom>
        <a:solidFill>
          <a:srgbClr val="FCE4EC"/>
        </a:solidFill>
        <a:effectLst>
          <a:reflection blurRad="6350" stA="52000" endA="300" endPos="35000" dir="5400000" sy="-100000" algn="bl" rotWithShape="0"/>
        </a:effectLst>
        <a:scene3d>
          <a:camera prst="orthographicFront"/>
          <a:lightRig rig="threePt" dir="t"/>
        </a:scene3d>
        <a:sp3d>
          <a:bevelT/>
        </a:sp3d>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445770</xdr:colOff>
      <xdr:row>1</xdr:row>
      <xdr:rowOff>144780</xdr:rowOff>
    </xdr:from>
    <xdr:to>
      <xdr:col>19</xdr:col>
      <xdr:colOff>194310</xdr:colOff>
      <xdr:row>5</xdr:row>
      <xdr:rowOff>0</xdr:rowOff>
    </xdr:to>
    <xdr:sp macro="" textlink="">
      <xdr:nvSpPr>
        <xdr:cNvPr id="6" name="Rectangle: Rounded Corners 5">
          <a:extLst>
            <a:ext uri="{FF2B5EF4-FFF2-40B4-BE49-F238E27FC236}">
              <a16:creationId xmlns:a16="http://schemas.microsoft.com/office/drawing/2014/main" id="{1FD9422A-0E20-41BF-ABB9-F98B62C39A53}"/>
            </a:ext>
          </a:extLst>
        </xdr:cNvPr>
        <xdr:cNvSpPr/>
      </xdr:nvSpPr>
      <xdr:spPr>
        <a:xfrm>
          <a:off x="10199370" y="582930"/>
          <a:ext cx="1577340" cy="579120"/>
        </a:xfrm>
        <a:prstGeom prst="roundRect">
          <a:avLst/>
        </a:prstGeom>
        <a:solidFill>
          <a:srgbClr val="FCE4EC"/>
        </a:solidFill>
        <a:effectLst>
          <a:reflection blurRad="6350" stA="52000" endA="300" endPos="35000" dir="5400000" sy="-100000" algn="bl" rotWithShape="0"/>
        </a:effectLst>
        <a:scene3d>
          <a:camera prst="orthographicFront"/>
          <a:lightRig rig="threePt" dir="t"/>
        </a:scene3d>
        <a:sp3d>
          <a:bevelT/>
        </a:sp3d>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603885</xdr:colOff>
      <xdr:row>1</xdr:row>
      <xdr:rowOff>125730</xdr:rowOff>
    </xdr:from>
    <xdr:to>
      <xdr:col>23</xdr:col>
      <xdr:colOff>352425</xdr:colOff>
      <xdr:row>4</xdr:row>
      <xdr:rowOff>161925</xdr:rowOff>
    </xdr:to>
    <xdr:sp macro="" textlink="">
      <xdr:nvSpPr>
        <xdr:cNvPr id="7" name="Rectangle: Rounded Corners 6">
          <a:extLst>
            <a:ext uri="{FF2B5EF4-FFF2-40B4-BE49-F238E27FC236}">
              <a16:creationId xmlns:a16="http://schemas.microsoft.com/office/drawing/2014/main" id="{74DFF9B9-EA9D-4F18-8C32-224C7E1569E1}"/>
            </a:ext>
          </a:extLst>
        </xdr:cNvPr>
        <xdr:cNvSpPr/>
      </xdr:nvSpPr>
      <xdr:spPr>
        <a:xfrm>
          <a:off x="12795885" y="563880"/>
          <a:ext cx="1577340" cy="579120"/>
        </a:xfrm>
        <a:prstGeom prst="roundRect">
          <a:avLst/>
        </a:prstGeom>
        <a:solidFill>
          <a:srgbClr val="FCE4EC"/>
        </a:solidFill>
        <a:effectLst>
          <a:reflection blurRad="6350" stA="52000" endA="300" endPos="35000" dir="5400000" sy="-100000" algn="bl" rotWithShape="0"/>
        </a:effectLst>
        <a:scene3d>
          <a:camera prst="orthographicFront"/>
          <a:lightRig rig="threePt" dir="t"/>
        </a:scene3d>
        <a:sp3d>
          <a:bevelT/>
        </a:sp3d>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541020</xdr:colOff>
      <xdr:row>1</xdr:row>
      <xdr:rowOff>114300</xdr:rowOff>
    </xdr:from>
    <xdr:to>
      <xdr:col>6</xdr:col>
      <xdr:colOff>213360</xdr:colOff>
      <xdr:row>3</xdr:row>
      <xdr:rowOff>0</xdr:rowOff>
    </xdr:to>
    <xdr:sp macro="" textlink="">
      <xdr:nvSpPr>
        <xdr:cNvPr id="10" name="TextBox 9">
          <a:extLst>
            <a:ext uri="{FF2B5EF4-FFF2-40B4-BE49-F238E27FC236}">
              <a16:creationId xmlns:a16="http://schemas.microsoft.com/office/drawing/2014/main" id="{4581A0B7-D007-C4C2-22DC-A8E3103291B5}"/>
            </a:ext>
          </a:extLst>
        </xdr:cNvPr>
        <xdr:cNvSpPr txBox="1"/>
      </xdr:nvSpPr>
      <xdr:spPr>
        <a:xfrm>
          <a:off x="2369820" y="548640"/>
          <a:ext cx="15011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333333"/>
              </a:solidFill>
            </a:rPr>
            <a:t>Total Customers</a:t>
          </a:r>
        </a:p>
      </xdr:txBody>
    </xdr:sp>
    <xdr:clientData/>
  </xdr:twoCellAnchor>
  <xdr:twoCellAnchor>
    <xdr:from>
      <xdr:col>4</xdr:col>
      <xdr:colOff>114300</xdr:colOff>
      <xdr:row>2</xdr:row>
      <xdr:rowOff>83820</xdr:rowOff>
    </xdr:from>
    <xdr:to>
      <xdr:col>5</xdr:col>
      <xdr:colOff>541020</xdr:colOff>
      <xdr:row>4</xdr:row>
      <xdr:rowOff>99060</xdr:rowOff>
    </xdr:to>
    <xdr:sp macro="" textlink="#REF!">
      <xdr:nvSpPr>
        <xdr:cNvPr id="12" name="TextBox 11">
          <a:extLst>
            <a:ext uri="{FF2B5EF4-FFF2-40B4-BE49-F238E27FC236}">
              <a16:creationId xmlns:a16="http://schemas.microsoft.com/office/drawing/2014/main" id="{CD208F69-BBB4-4373-9C5D-EEB7A770A8C8}"/>
            </a:ext>
          </a:extLst>
        </xdr:cNvPr>
        <xdr:cNvSpPr txBox="1"/>
      </xdr:nvSpPr>
      <xdr:spPr>
        <a:xfrm>
          <a:off x="2552700" y="701040"/>
          <a:ext cx="103632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333333"/>
              </a:solidFill>
            </a:rPr>
            <a:t>👥</a:t>
          </a:r>
          <a:fld id="{AA6387DE-BF35-4D7C-855E-7955D9A45F6D}" type="TxLink">
            <a:rPr lang="en-US" sz="2000" b="1" i="0" u="none" strike="noStrike">
              <a:solidFill>
                <a:srgbClr val="333333"/>
              </a:solidFill>
              <a:latin typeface="Calibri"/>
              <a:ea typeface="Calibri"/>
              <a:cs typeface="Calibri"/>
            </a:rPr>
            <a:pPr/>
            <a:t>800</a:t>
          </a:fld>
          <a:endParaRPr lang="en-US" sz="2800" b="1">
            <a:solidFill>
              <a:srgbClr val="333333"/>
            </a:solidFill>
          </a:endParaRPr>
        </a:p>
      </xdr:txBody>
    </xdr:sp>
    <xdr:clientData/>
  </xdr:twoCellAnchor>
  <xdr:twoCellAnchor>
    <xdr:from>
      <xdr:col>8</xdr:col>
      <xdr:colOff>99060</xdr:colOff>
      <xdr:row>1</xdr:row>
      <xdr:rowOff>142875</xdr:rowOff>
    </xdr:from>
    <xdr:to>
      <xdr:col>10</xdr:col>
      <xdr:colOff>571500</xdr:colOff>
      <xdr:row>3</xdr:row>
      <xdr:rowOff>28575</xdr:rowOff>
    </xdr:to>
    <xdr:sp macro="" textlink="">
      <xdr:nvSpPr>
        <xdr:cNvPr id="15" name="TextBox 14">
          <a:extLst>
            <a:ext uri="{FF2B5EF4-FFF2-40B4-BE49-F238E27FC236}">
              <a16:creationId xmlns:a16="http://schemas.microsoft.com/office/drawing/2014/main" id="{F268E19C-7912-C6A8-5B4F-4AA25E455B41}"/>
            </a:ext>
          </a:extLst>
        </xdr:cNvPr>
        <xdr:cNvSpPr txBox="1"/>
      </xdr:nvSpPr>
      <xdr:spPr>
        <a:xfrm>
          <a:off x="4975860" y="581025"/>
          <a:ext cx="16916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a:solidFill>
                <a:srgbClr val="333333"/>
              </a:solidFill>
            </a:rPr>
            <a:t>Total Loan Amount</a:t>
          </a:r>
          <a:endParaRPr lang="en-US" sz="1600" b="1" i="0">
            <a:solidFill>
              <a:srgbClr val="333333"/>
            </a:solidFill>
          </a:endParaRPr>
        </a:p>
      </xdr:txBody>
    </xdr:sp>
    <xdr:clientData/>
  </xdr:twoCellAnchor>
  <xdr:twoCellAnchor>
    <xdr:from>
      <xdr:col>8</xdr:col>
      <xdr:colOff>125730</xdr:colOff>
      <xdr:row>3</xdr:row>
      <xdr:rowOff>13335</xdr:rowOff>
    </xdr:from>
    <xdr:to>
      <xdr:col>10</xdr:col>
      <xdr:colOff>400050</xdr:colOff>
      <xdr:row>4</xdr:row>
      <xdr:rowOff>74295</xdr:rowOff>
    </xdr:to>
    <xdr:sp macro="" textlink="Sheet12!A4:B4">
      <xdr:nvSpPr>
        <xdr:cNvPr id="16" name="TextBox 15">
          <a:extLst>
            <a:ext uri="{FF2B5EF4-FFF2-40B4-BE49-F238E27FC236}">
              <a16:creationId xmlns:a16="http://schemas.microsoft.com/office/drawing/2014/main" id="{C6FEE56B-0C55-DE99-29B3-8F3666343941}"/>
            </a:ext>
          </a:extLst>
        </xdr:cNvPr>
        <xdr:cNvSpPr txBox="1"/>
      </xdr:nvSpPr>
      <xdr:spPr>
        <a:xfrm>
          <a:off x="5002530" y="813435"/>
          <a:ext cx="1493520" cy="241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333333"/>
              </a:solidFill>
            </a:rPr>
            <a:t>🏦</a:t>
          </a:r>
          <a:fld id="{40183F1B-50CF-4762-ADA5-9EC08C950D48}" type="TxLink">
            <a:rPr lang="en-US" sz="1600" b="1" i="0" u="none" strike="noStrike">
              <a:solidFill>
                <a:srgbClr val="333333"/>
              </a:solidFill>
              <a:latin typeface="Calibri"/>
              <a:ea typeface="Calibri"/>
              <a:cs typeface="Calibri"/>
            </a:rPr>
            <a:pPr algn="ctr"/>
            <a:t>584739998</a:t>
          </a:fld>
          <a:endParaRPr lang="en-US" sz="1600" b="1">
            <a:solidFill>
              <a:srgbClr val="333333"/>
            </a:solidFill>
          </a:endParaRPr>
        </a:p>
      </xdr:txBody>
    </xdr:sp>
    <xdr:clientData/>
  </xdr:twoCellAnchor>
  <xdr:twoCellAnchor>
    <xdr:from>
      <xdr:col>12</xdr:col>
      <xdr:colOff>531495</xdr:colOff>
      <xdr:row>1</xdr:row>
      <xdr:rowOff>137160</xdr:rowOff>
    </xdr:from>
    <xdr:to>
      <xdr:col>14</xdr:col>
      <xdr:colOff>470535</xdr:colOff>
      <xdr:row>3</xdr:row>
      <xdr:rowOff>15240</xdr:rowOff>
    </xdr:to>
    <xdr:sp macro="" textlink="">
      <xdr:nvSpPr>
        <xdr:cNvPr id="17" name="TextBox 16">
          <a:extLst>
            <a:ext uri="{FF2B5EF4-FFF2-40B4-BE49-F238E27FC236}">
              <a16:creationId xmlns:a16="http://schemas.microsoft.com/office/drawing/2014/main" id="{6F3EB7F4-7D20-5216-994B-729D06983421}"/>
            </a:ext>
          </a:extLst>
        </xdr:cNvPr>
        <xdr:cNvSpPr txBox="1"/>
      </xdr:nvSpPr>
      <xdr:spPr>
        <a:xfrm>
          <a:off x="7846695" y="575310"/>
          <a:ext cx="1158240" cy="24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333333"/>
              </a:solidFill>
            </a:rPr>
            <a:t>Avg Balance</a:t>
          </a:r>
        </a:p>
      </xdr:txBody>
    </xdr:sp>
    <xdr:clientData/>
  </xdr:twoCellAnchor>
  <xdr:twoCellAnchor>
    <xdr:from>
      <xdr:col>12</xdr:col>
      <xdr:colOff>403860</xdr:colOff>
      <xdr:row>2</xdr:row>
      <xdr:rowOff>171450</xdr:rowOff>
    </xdr:from>
    <xdr:to>
      <xdr:col>14</xdr:col>
      <xdr:colOff>487680</xdr:colOff>
      <xdr:row>4</xdr:row>
      <xdr:rowOff>28575</xdr:rowOff>
    </xdr:to>
    <xdr:sp macro="" textlink="Sheet9!A4:B4">
      <xdr:nvSpPr>
        <xdr:cNvPr id="18" name="TextBox 17">
          <a:extLst>
            <a:ext uri="{FF2B5EF4-FFF2-40B4-BE49-F238E27FC236}">
              <a16:creationId xmlns:a16="http://schemas.microsoft.com/office/drawing/2014/main" id="{29D8F5C8-3C73-EBF6-4B50-D55610E2B91B}"/>
            </a:ext>
          </a:extLst>
        </xdr:cNvPr>
        <xdr:cNvSpPr txBox="1"/>
      </xdr:nvSpPr>
      <xdr:spPr>
        <a:xfrm>
          <a:off x="7719060" y="790575"/>
          <a:ext cx="130302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333333"/>
              </a:solidFill>
            </a:rPr>
            <a:t>💰</a:t>
          </a:r>
          <a:fld id="{B9F6F8F9-9A65-4F8F-A014-EA7C15C577B0}" type="TxLink">
            <a:rPr lang="en-US" sz="1600" b="1" i="0" u="none" strike="noStrike">
              <a:solidFill>
                <a:srgbClr val="333333"/>
              </a:solidFill>
              <a:latin typeface="Calibri"/>
              <a:ea typeface="Calibri"/>
              <a:cs typeface="Calibri"/>
            </a:rPr>
            <a:pPr algn="ctr"/>
            <a:t>54448.40</a:t>
          </a:fld>
          <a:r>
            <a:rPr lang="en-US" sz="1600" b="1" i="0" u="none" strike="noStrike">
              <a:solidFill>
                <a:srgbClr val="333333"/>
              </a:solidFill>
              <a:latin typeface="Calibri"/>
              <a:ea typeface="Calibri"/>
              <a:cs typeface="Calibri"/>
            </a:rPr>
            <a:t>M</a:t>
          </a:r>
          <a:endParaRPr lang="en-US" sz="1600" b="1">
            <a:solidFill>
              <a:srgbClr val="333333"/>
            </a:solidFill>
          </a:endParaRPr>
        </a:p>
      </xdr:txBody>
    </xdr:sp>
    <xdr:clientData/>
  </xdr:twoCellAnchor>
  <xdr:twoCellAnchor>
    <xdr:from>
      <xdr:col>16</xdr:col>
      <xdr:colOff>493395</xdr:colOff>
      <xdr:row>1</xdr:row>
      <xdr:rowOff>144780</xdr:rowOff>
    </xdr:from>
    <xdr:to>
      <xdr:col>19</xdr:col>
      <xdr:colOff>142875</xdr:colOff>
      <xdr:row>3</xdr:row>
      <xdr:rowOff>45720</xdr:rowOff>
    </xdr:to>
    <xdr:sp macro="" textlink="">
      <xdr:nvSpPr>
        <xdr:cNvPr id="19" name="TextBox 18">
          <a:extLst>
            <a:ext uri="{FF2B5EF4-FFF2-40B4-BE49-F238E27FC236}">
              <a16:creationId xmlns:a16="http://schemas.microsoft.com/office/drawing/2014/main" id="{A2929930-041D-6EF1-5F01-04379FD6BAE5}"/>
            </a:ext>
          </a:extLst>
        </xdr:cNvPr>
        <xdr:cNvSpPr txBox="1"/>
      </xdr:nvSpPr>
      <xdr:spPr>
        <a:xfrm>
          <a:off x="10246995" y="582930"/>
          <a:ext cx="1478280" cy="262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333333"/>
              </a:solidFill>
            </a:rPr>
            <a:t>Avg Credit Score</a:t>
          </a:r>
        </a:p>
      </xdr:txBody>
    </xdr:sp>
    <xdr:clientData/>
  </xdr:twoCellAnchor>
  <xdr:twoCellAnchor>
    <xdr:from>
      <xdr:col>16</xdr:col>
      <xdr:colOff>470535</xdr:colOff>
      <xdr:row>2</xdr:row>
      <xdr:rowOff>169545</xdr:rowOff>
    </xdr:from>
    <xdr:to>
      <xdr:col>19</xdr:col>
      <xdr:colOff>89535</xdr:colOff>
      <xdr:row>4</xdr:row>
      <xdr:rowOff>49530</xdr:rowOff>
    </xdr:to>
    <xdr:sp macro="" textlink="Sheet11!A4:B4">
      <xdr:nvSpPr>
        <xdr:cNvPr id="20" name="TextBox 19">
          <a:extLst>
            <a:ext uri="{FF2B5EF4-FFF2-40B4-BE49-F238E27FC236}">
              <a16:creationId xmlns:a16="http://schemas.microsoft.com/office/drawing/2014/main" id="{A7DBA5E0-57E1-8D4B-D1AB-EB34C1BB1CEA}"/>
            </a:ext>
          </a:extLst>
        </xdr:cNvPr>
        <xdr:cNvSpPr txBox="1"/>
      </xdr:nvSpPr>
      <xdr:spPr>
        <a:xfrm>
          <a:off x="10224135" y="788670"/>
          <a:ext cx="1447800" cy="241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333333"/>
              </a:solidFill>
            </a:rPr>
            <a:t>⭐</a:t>
          </a:r>
          <a:fld id="{89926ACA-D82F-4DAB-A501-B616A170CAB4}" type="TxLink">
            <a:rPr lang="en-US" sz="1600" b="1" i="0" u="none" strike="noStrike">
              <a:solidFill>
                <a:srgbClr val="333333"/>
              </a:solidFill>
              <a:latin typeface="Calibri"/>
              <a:ea typeface="Calibri"/>
              <a:cs typeface="Calibri"/>
            </a:rPr>
            <a:pPr algn="ctr"/>
            <a:t>677.24125</a:t>
          </a:fld>
          <a:endParaRPr lang="en-US" sz="1600" b="1">
            <a:solidFill>
              <a:srgbClr val="333333"/>
            </a:solidFill>
          </a:endParaRPr>
        </a:p>
      </xdr:txBody>
    </xdr:sp>
    <xdr:clientData/>
  </xdr:twoCellAnchor>
  <xdr:twoCellAnchor>
    <xdr:from>
      <xdr:col>21</xdr:col>
      <xdr:colOff>41910</xdr:colOff>
      <xdr:row>1</xdr:row>
      <xdr:rowOff>146685</xdr:rowOff>
    </xdr:from>
    <xdr:to>
      <xdr:col>23</xdr:col>
      <xdr:colOff>262890</xdr:colOff>
      <xdr:row>2</xdr:row>
      <xdr:rowOff>175260</xdr:rowOff>
    </xdr:to>
    <xdr:sp macro="" textlink="">
      <xdr:nvSpPr>
        <xdr:cNvPr id="21" name="TextBox 20">
          <a:extLst>
            <a:ext uri="{FF2B5EF4-FFF2-40B4-BE49-F238E27FC236}">
              <a16:creationId xmlns:a16="http://schemas.microsoft.com/office/drawing/2014/main" id="{F63D07C3-BB11-687A-008D-B034C6936A00}"/>
            </a:ext>
          </a:extLst>
        </xdr:cNvPr>
        <xdr:cNvSpPr txBox="1"/>
      </xdr:nvSpPr>
      <xdr:spPr>
        <a:xfrm>
          <a:off x="12843510" y="584835"/>
          <a:ext cx="144018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333333"/>
              </a:solidFill>
            </a:rPr>
            <a:t>Avg Satisfaction</a:t>
          </a:r>
        </a:p>
      </xdr:txBody>
    </xdr:sp>
    <xdr:clientData/>
  </xdr:twoCellAnchor>
  <xdr:twoCellAnchor>
    <xdr:from>
      <xdr:col>21</xdr:col>
      <xdr:colOff>169545</xdr:colOff>
      <xdr:row>2</xdr:row>
      <xdr:rowOff>148590</xdr:rowOff>
    </xdr:from>
    <xdr:to>
      <xdr:col>23</xdr:col>
      <xdr:colOff>131445</xdr:colOff>
      <xdr:row>4</xdr:row>
      <xdr:rowOff>20955</xdr:rowOff>
    </xdr:to>
    <xdr:sp macro="" textlink="">
      <xdr:nvSpPr>
        <xdr:cNvPr id="22" name="TextBox 21">
          <a:extLst>
            <a:ext uri="{FF2B5EF4-FFF2-40B4-BE49-F238E27FC236}">
              <a16:creationId xmlns:a16="http://schemas.microsoft.com/office/drawing/2014/main" id="{53E41C72-55A6-34CC-9A8A-9A90BD29C9AD}"/>
            </a:ext>
          </a:extLst>
        </xdr:cNvPr>
        <xdr:cNvSpPr txBox="1"/>
      </xdr:nvSpPr>
      <xdr:spPr>
        <a:xfrm>
          <a:off x="12971145" y="767715"/>
          <a:ext cx="1181100" cy="234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6">
                  <a:lumMod val="75000"/>
                </a:schemeClr>
              </a:solidFill>
            </a:rPr>
            <a:t>★★★★☆</a:t>
          </a:r>
        </a:p>
      </xdr:txBody>
    </xdr:sp>
    <xdr:clientData/>
  </xdr:twoCellAnchor>
  <xdr:twoCellAnchor editAs="oneCell">
    <xdr:from>
      <xdr:col>0</xdr:col>
      <xdr:colOff>120015</xdr:colOff>
      <xdr:row>2</xdr:row>
      <xdr:rowOff>80011</xdr:rowOff>
    </xdr:from>
    <xdr:to>
      <xdr:col>3</xdr:col>
      <xdr:colOff>310515</xdr:colOff>
      <xdr:row>11</xdr:row>
      <xdr:rowOff>163830</xdr:rowOff>
    </xdr:to>
    <mc:AlternateContent xmlns:mc="http://schemas.openxmlformats.org/markup-compatibility/2006" xmlns:a14="http://schemas.microsoft.com/office/drawing/2010/main">
      <mc:Choice Requires="a14">
        <xdr:graphicFrame macro="">
          <xdr:nvGraphicFramePr>
            <xdr:cNvPr id="23" name="Region 6">
              <a:extLst>
                <a:ext uri="{FF2B5EF4-FFF2-40B4-BE49-F238E27FC236}">
                  <a16:creationId xmlns:a16="http://schemas.microsoft.com/office/drawing/2014/main" id="{60CFB301-3236-41A4-A45D-13787C3FE7F7}"/>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mlns="">
        <xdr:sp macro="" textlink="">
          <xdr:nvSpPr>
            <xdr:cNvPr id="0" name=""/>
            <xdr:cNvSpPr>
              <a:spLocks noTextEdit="1"/>
            </xdr:cNvSpPr>
          </xdr:nvSpPr>
          <xdr:spPr>
            <a:xfrm>
              <a:off x="120015" y="699136"/>
              <a:ext cx="2019300" cy="17125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110490</xdr:colOff>
      <xdr:row>12</xdr:row>
      <xdr:rowOff>43815</xdr:rowOff>
    </xdr:from>
    <xdr:to>
      <xdr:col>3</xdr:col>
      <xdr:colOff>300990</xdr:colOff>
      <xdr:row>21</xdr:row>
      <xdr:rowOff>135254</xdr:rowOff>
    </xdr:to>
    <mc:AlternateContent xmlns:mc="http://schemas.openxmlformats.org/markup-compatibility/2006" xmlns:a14="http://schemas.microsoft.com/office/drawing/2010/main">
      <mc:Choice Requires="a14">
        <xdr:graphicFrame macro="">
          <xdr:nvGraphicFramePr>
            <xdr:cNvPr id="24" name="AccountType 6">
              <a:extLst>
                <a:ext uri="{FF2B5EF4-FFF2-40B4-BE49-F238E27FC236}">
                  <a16:creationId xmlns:a16="http://schemas.microsoft.com/office/drawing/2014/main" id="{4FC4452C-A90C-4573-B887-95D21611F32D}"/>
                </a:ext>
              </a:extLst>
            </xdr:cNvPr>
            <xdr:cNvGraphicFramePr/>
          </xdr:nvGraphicFramePr>
          <xdr:xfrm>
            <a:off x="0" y="0"/>
            <a:ext cx="0" cy="0"/>
          </xdr:xfrm>
          <a:graphic>
            <a:graphicData uri="http://schemas.microsoft.com/office/drawing/2010/slicer">
              <sle:slicer xmlns:sle="http://schemas.microsoft.com/office/drawing/2010/slicer" name="AccountType 6"/>
            </a:graphicData>
          </a:graphic>
        </xdr:graphicFrame>
      </mc:Choice>
      <mc:Fallback xmlns="">
        <xdr:sp macro="" textlink="">
          <xdr:nvSpPr>
            <xdr:cNvPr id="0" name=""/>
            <xdr:cNvSpPr>
              <a:spLocks noTextEdit="1"/>
            </xdr:cNvSpPr>
          </xdr:nvSpPr>
          <xdr:spPr>
            <a:xfrm>
              <a:off x="110490" y="2472690"/>
              <a:ext cx="2019300" cy="1720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120014</xdr:colOff>
      <xdr:row>22</xdr:row>
      <xdr:rowOff>13335</xdr:rowOff>
    </xdr:from>
    <xdr:to>
      <xdr:col>3</xdr:col>
      <xdr:colOff>302777</xdr:colOff>
      <xdr:row>31</xdr:row>
      <xdr:rowOff>104775</xdr:rowOff>
    </xdr:to>
    <mc:AlternateContent xmlns:mc="http://schemas.openxmlformats.org/markup-compatibility/2006" xmlns:a14="http://schemas.microsoft.com/office/drawing/2010/main">
      <mc:Choice Requires="a14">
        <xdr:graphicFrame macro="">
          <xdr:nvGraphicFramePr>
            <xdr:cNvPr id="25" name="CreditBand 6">
              <a:extLst>
                <a:ext uri="{FF2B5EF4-FFF2-40B4-BE49-F238E27FC236}">
                  <a16:creationId xmlns:a16="http://schemas.microsoft.com/office/drawing/2014/main" id="{618CFC79-0B93-4139-9F07-ECD42A50969B}"/>
                </a:ext>
              </a:extLst>
            </xdr:cNvPr>
            <xdr:cNvGraphicFramePr/>
          </xdr:nvGraphicFramePr>
          <xdr:xfrm>
            <a:off x="0" y="0"/>
            <a:ext cx="0" cy="0"/>
          </xdr:xfrm>
          <a:graphic>
            <a:graphicData uri="http://schemas.microsoft.com/office/drawing/2010/slicer">
              <sle:slicer xmlns:sle="http://schemas.microsoft.com/office/drawing/2010/slicer" name="CreditBand 6"/>
            </a:graphicData>
          </a:graphic>
        </xdr:graphicFrame>
      </mc:Choice>
      <mc:Fallback xmlns="">
        <xdr:sp macro="" textlink="">
          <xdr:nvSpPr>
            <xdr:cNvPr id="0" name=""/>
            <xdr:cNvSpPr>
              <a:spLocks noTextEdit="1"/>
            </xdr:cNvSpPr>
          </xdr:nvSpPr>
          <xdr:spPr>
            <a:xfrm>
              <a:off x="120014" y="4251960"/>
              <a:ext cx="2011563" cy="17202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514350</xdr:colOff>
      <xdr:row>2</xdr:row>
      <xdr:rowOff>114300</xdr:rowOff>
    </xdr:from>
    <xdr:to>
      <xdr:col>26</xdr:col>
      <xdr:colOff>514350</xdr:colOff>
      <xdr:row>13</xdr:row>
      <xdr:rowOff>85725</xdr:rowOff>
    </xdr:to>
    <mc:AlternateContent xmlns:mc="http://schemas.openxmlformats.org/markup-compatibility/2006" xmlns:a14="http://schemas.microsoft.com/office/drawing/2010/main">
      <mc:Choice Requires="a14">
        <xdr:graphicFrame macro="">
          <xdr:nvGraphicFramePr>
            <xdr:cNvPr id="26" name="LoanType 6">
              <a:extLst>
                <a:ext uri="{FF2B5EF4-FFF2-40B4-BE49-F238E27FC236}">
                  <a16:creationId xmlns:a16="http://schemas.microsoft.com/office/drawing/2014/main" id="{A9E2C433-72FB-4339-9B5A-3F5156146023}"/>
                </a:ext>
              </a:extLst>
            </xdr:cNvPr>
            <xdr:cNvGraphicFramePr/>
          </xdr:nvGraphicFramePr>
          <xdr:xfrm>
            <a:off x="0" y="0"/>
            <a:ext cx="0" cy="0"/>
          </xdr:xfrm>
          <a:graphic>
            <a:graphicData uri="http://schemas.microsoft.com/office/drawing/2010/slicer">
              <sle:slicer xmlns:sle="http://schemas.microsoft.com/office/drawing/2010/slicer" name="LoanType 6"/>
            </a:graphicData>
          </a:graphic>
        </xdr:graphicFrame>
      </mc:Choice>
      <mc:Fallback xmlns="">
        <xdr:sp macro="" textlink="">
          <xdr:nvSpPr>
            <xdr:cNvPr id="0" name=""/>
            <xdr:cNvSpPr>
              <a:spLocks noTextEdit="1"/>
            </xdr:cNvSpPr>
          </xdr:nvSpPr>
          <xdr:spPr>
            <a:xfrm>
              <a:off x="14535150" y="733425"/>
              <a:ext cx="1828800" cy="1962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514350</xdr:colOff>
      <xdr:row>13</xdr:row>
      <xdr:rowOff>133350</xdr:rowOff>
    </xdr:from>
    <xdr:to>
      <xdr:col>26</xdr:col>
      <xdr:colOff>514350</xdr:colOff>
      <xdr:row>23</xdr:row>
      <xdr:rowOff>47625</xdr:rowOff>
    </xdr:to>
    <mc:AlternateContent xmlns:mc="http://schemas.openxmlformats.org/markup-compatibility/2006" xmlns:a14="http://schemas.microsoft.com/office/drawing/2010/main">
      <mc:Choice Requires="a14">
        <xdr:graphicFrame macro="">
          <xdr:nvGraphicFramePr>
            <xdr:cNvPr id="27" name="PreferredChannel 6">
              <a:extLst>
                <a:ext uri="{FF2B5EF4-FFF2-40B4-BE49-F238E27FC236}">
                  <a16:creationId xmlns:a16="http://schemas.microsoft.com/office/drawing/2014/main" id="{DD95A37B-E4E0-43AB-8844-351882B7D208}"/>
                </a:ext>
              </a:extLst>
            </xdr:cNvPr>
            <xdr:cNvGraphicFramePr/>
          </xdr:nvGraphicFramePr>
          <xdr:xfrm>
            <a:off x="0" y="0"/>
            <a:ext cx="0" cy="0"/>
          </xdr:xfrm>
          <a:graphic>
            <a:graphicData uri="http://schemas.microsoft.com/office/drawing/2010/slicer">
              <sle:slicer xmlns:sle="http://schemas.microsoft.com/office/drawing/2010/slicer" name="PreferredChannel 6"/>
            </a:graphicData>
          </a:graphic>
        </xdr:graphicFrame>
      </mc:Choice>
      <mc:Fallback xmlns="">
        <xdr:sp macro="" textlink="">
          <xdr:nvSpPr>
            <xdr:cNvPr id="0" name=""/>
            <xdr:cNvSpPr>
              <a:spLocks noTextEdit="1"/>
            </xdr:cNvSpPr>
          </xdr:nvSpPr>
          <xdr:spPr>
            <a:xfrm>
              <a:off x="14535150" y="2743200"/>
              <a:ext cx="1828800"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514350</xdr:colOff>
      <xdr:row>23</xdr:row>
      <xdr:rowOff>95250</xdr:rowOff>
    </xdr:from>
    <xdr:to>
      <xdr:col>26</xdr:col>
      <xdr:colOff>514350</xdr:colOff>
      <xdr:row>31</xdr:row>
      <xdr:rowOff>129428</xdr:rowOff>
    </xdr:to>
    <mc:AlternateContent xmlns:mc="http://schemas.openxmlformats.org/markup-compatibility/2006" xmlns:a14="http://schemas.microsoft.com/office/drawing/2010/main">
      <mc:Choice Requires="a14">
        <xdr:graphicFrame macro="">
          <xdr:nvGraphicFramePr>
            <xdr:cNvPr id="28" name="Churned 6">
              <a:extLst>
                <a:ext uri="{FF2B5EF4-FFF2-40B4-BE49-F238E27FC236}">
                  <a16:creationId xmlns:a16="http://schemas.microsoft.com/office/drawing/2014/main" id="{5CBD512F-5CDD-408C-82BA-AF3EEEC9EBD4}"/>
                </a:ext>
              </a:extLst>
            </xdr:cNvPr>
            <xdr:cNvGraphicFramePr/>
          </xdr:nvGraphicFramePr>
          <xdr:xfrm>
            <a:off x="0" y="0"/>
            <a:ext cx="0" cy="0"/>
          </xdr:xfrm>
          <a:graphic>
            <a:graphicData uri="http://schemas.microsoft.com/office/drawing/2010/slicer">
              <sle:slicer xmlns:sle="http://schemas.microsoft.com/office/drawing/2010/slicer" name="Churned 6"/>
            </a:graphicData>
          </a:graphic>
        </xdr:graphicFrame>
      </mc:Choice>
      <mc:Fallback xmlns="">
        <xdr:sp macro="" textlink="">
          <xdr:nvSpPr>
            <xdr:cNvPr id="0" name=""/>
            <xdr:cNvSpPr>
              <a:spLocks noTextEdit="1"/>
            </xdr:cNvSpPr>
          </xdr:nvSpPr>
          <xdr:spPr>
            <a:xfrm>
              <a:off x="14535150" y="4514850"/>
              <a:ext cx="1828800" cy="14819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405093</xdr:colOff>
      <xdr:row>5</xdr:row>
      <xdr:rowOff>44824</xdr:rowOff>
    </xdr:from>
    <xdr:to>
      <xdr:col>10</xdr:col>
      <xdr:colOff>64434</xdr:colOff>
      <xdr:row>18</xdr:row>
      <xdr:rowOff>26894</xdr:rowOff>
    </xdr:to>
    <xdr:graphicFrame macro="">
      <xdr:nvGraphicFramePr>
        <xdr:cNvPr id="29" name="Chart 28">
          <a:extLst>
            <a:ext uri="{FF2B5EF4-FFF2-40B4-BE49-F238E27FC236}">
              <a16:creationId xmlns:a16="http://schemas.microsoft.com/office/drawing/2014/main" id="{89B0991E-E6C5-4D67-B20D-CBD62A9A5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118222</xdr:colOff>
      <xdr:row>5</xdr:row>
      <xdr:rowOff>44824</xdr:rowOff>
    </xdr:from>
    <xdr:to>
      <xdr:col>16</xdr:col>
      <xdr:colOff>533400</xdr:colOff>
      <xdr:row>18</xdr:row>
      <xdr:rowOff>26894</xdr:rowOff>
    </xdr:to>
    <xdr:graphicFrame macro="">
      <xdr:nvGraphicFramePr>
        <xdr:cNvPr id="30" name="Chart 29">
          <a:extLst>
            <a:ext uri="{FF2B5EF4-FFF2-40B4-BE49-F238E27FC236}">
              <a16:creationId xmlns:a16="http://schemas.microsoft.com/office/drawing/2014/main" id="{F64C6F2E-3EFB-47C2-B003-054CA1D4DB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396128</xdr:colOff>
      <xdr:row>18</xdr:row>
      <xdr:rowOff>98610</xdr:rowOff>
    </xdr:from>
    <xdr:to>
      <xdr:col>10</xdr:col>
      <xdr:colOff>64434</xdr:colOff>
      <xdr:row>32</xdr:row>
      <xdr:rowOff>44823</xdr:rowOff>
    </xdr:to>
    <xdr:graphicFrame macro="">
      <xdr:nvGraphicFramePr>
        <xdr:cNvPr id="31" name="Chart 30">
          <a:extLst>
            <a:ext uri="{FF2B5EF4-FFF2-40B4-BE49-F238E27FC236}">
              <a16:creationId xmlns:a16="http://schemas.microsoft.com/office/drawing/2014/main" id="{28398EBC-6594-4480-B637-E5459152A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118222</xdr:colOff>
      <xdr:row>18</xdr:row>
      <xdr:rowOff>98612</xdr:rowOff>
    </xdr:from>
    <xdr:to>
      <xdr:col>16</xdr:col>
      <xdr:colOff>533400</xdr:colOff>
      <xdr:row>32</xdr:row>
      <xdr:rowOff>44824</xdr:rowOff>
    </xdr:to>
    <xdr:graphicFrame macro="">
      <xdr:nvGraphicFramePr>
        <xdr:cNvPr id="32" name="Chart 31">
          <a:extLst>
            <a:ext uri="{FF2B5EF4-FFF2-40B4-BE49-F238E27FC236}">
              <a16:creationId xmlns:a16="http://schemas.microsoft.com/office/drawing/2014/main" id="{16ACDBA7-B176-4016-A912-B8E8B74EE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9524</xdr:colOff>
      <xdr:row>5</xdr:row>
      <xdr:rowOff>44824</xdr:rowOff>
    </xdr:from>
    <xdr:to>
      <xdr:col>23</xdr:col>
      <xdr:colOff>438149</xdr:colOff>
      <xdr:row>18</xdr:row>
      <xdr:rowOff>17929</xdr:rowOff>
    </xdr:to>
    <xdr:graphicFrame macro="">
      <xdr:nvGraphicFramePr>
        <xdr:cNvPr id="33" name="Chart 32">
          <a:extLst>
            <a:ext uri="{FF2B5EF4-FFF2-40B4-BE49-F238E27FC236}">
              <a16:creationId xmlns:a16="http://schemas.microsoft.com/office/drawing/2014/main" id="{31DB7196-573E-4444-9899-1AFAE267E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9523</xdr:colOff>
      <xdr:row>18</xdr:row>
      <xdr:rowOff>98612</xdr:rowOff>
    </xdr:from>
    <xdr:to>
      <xdr:col>23</xdr:col>
      <xdr:colOff>438150</xdr:colOff>
      <xdr:row>32</xdr:row>
      <xdr:rowOff>44824</xdr:rowOff>
    </xdr:to>
    <xdr:graphicFrame macro="">
      <xdr:nvGraphicFramePr>
        <xdr:cNvPr id="34" name="Chart 33">
          <a:extLst>
            <a:ext uri="{FF2B5EF4-FFF2-40B4-BE49-F238E27FC236}">
              <a16:creationId xmlns:a16="http://schemas.microsoft.com/office/drawing/2014/main" id="{DDFD4537-068C-4FF4-B249-624CC22ED5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99060</xdr:colOff>
      <xdr:row>11</xdr:row>
      <xdr:rowOff>34290</xdr:rowOff>
    </xdr:from>
    <xdr:to>
      <xdr:col>6</xdr:col>
      <xdr:colOff>76200</xdr:colOff>
      <xdr:row>26</xdr:row>
      <xdr:rowOff>34290</xdr:rowOff>
    </xdr:to>
    <xdr:graphicFrame macro="">
      <xdr:nvGraphicFramePr>
        <xdr:cNvPr id="2" name="Chart 1">
          <a:extLst>
            <a:ext uri="{FF2B5EF4-FFF2-40B4-BE49-F238E27FC236}">
              <a16:creationId xmlns:a16="http://schemas.microsoft.com/office/drawing/2014/main" id="{2CCBA870-E191-6D16-8C00-830D8AE1B4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472440</xdr:colOff>
      <xdr:row>0</xdr:row>
      <xdr:rowOff>152400</xdr:rowOff>
    </xdr:from>
    <xdr:to>
      <xdr:col>8</xdr:col>
      <xdr:colOff>601980</xdr:colOff>
      <xdr:row>14</xdr:row>
      <xdr:rowOff>59055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678AC662-0416-5111-2A57-2B5DB3D7F48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67300" y="152400"/>
              <a:ext cx="134874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441960</xdr:colOff>
      <xdr:row>10</xdr:row>
      <xdr:rowOff>53340</xdr:rowOff>
    </xdr:from>
    <xdr:to>
      <xdr:col>9</xdr:col>
      <xdr:colOff>441960</xdr:colOff>
      <xdr:row>23</xdr:row>
      <xdr:rowOff>142875</xdr:rowOff>
    </xdr:to>
    <mc:AlternateContent xmlns:mc="http://schemas.openxmlformats.org/markup-compatibility/2006" xmlns:a14="http://schemas.microsoft.com/office/drawing/2010/main">
      <mc:Choice Requires="a14">
        <xdr:graphicFrame macro="">
          <xdr:nvGraphicFramePr>
            <xdr:cNvPr id="4" name="AccountType">
              <a:extLst>
                <a:ext uri="{FF2B5EF4-FFF2-40B4-BE49-F238E27FC236}">
                  <a16:creationId xmlns:a16="http://schemas.microsoft.com/office/drawing/2014/main" id="{83953680-1E26-C112-CBD2-BB410198C17D}"/>
                </a:ext>
              </a:extLst>
            </xdr:cNvPr>
            <xdr:cNvGraphicFramePr/>
          </xdr:nvGraphicFramePr>
          <xdr:xfrm>
            <a:off x="0" y="0"/>
            <a:ext cx="0" cy="0"/>
          </xdr:xfrm>
          <a:graphic>
            <a:graphicData uri="http://schemas.microsoft.com/office/drawing/2010/slicer">
              <sle:slicer xmlns:sle="http://schemas.microsoft.com/office/drawing/2010/slicer" name="AccountType"/>
            </a:graphicData>
          </a:graphic>
        </xdr:graphicFrame>
      </mc:Choice>
      <mc:Fallback xmlns="">
        <xdr:sp macro="" textlink="">
          <xdr:nvSpPr>
            <xdr:cNvPr id="0" name=""/>
            <xdr:cNvSpPr>
              <a:spLocks noTextEdit="1"/>
            </xdr:cNvSpPr>
          </xdr:nvSpPr>
          <xdr:spPr>
            <a:xfrm>
              <a:off x="5036820" y="18821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xdr:colOff>
      <xdr:row>1</xdr:row>
      <xdr:rowOff>15240</xdr:rowOff>
    </xdr:from>
    <xdr:to>
      <xdr:col>13</xdr:col>
      <xdr:colOff>7620</xdr:colOff>
      <xdr:row>14</xdr:row>
      <xdr:rowOff>104775</xdr:rowOff>
    </xdr:to>
    <mc:AlternateContent xmlns:mc="http://schemas.openxmlformats.org/markup-compatibility/2006" xmlns:a14="http://schemas.microsoft.com/office/drawing/2010/main">
      <mc:Choice Requires="a14">
        <xdr:graphicFrame macro="">
          <xdr:nvGraphicFramePr>
            <xdr:cNvPr id="5" name="CreditBand">
              <a:extLst>
                <a:ext uri="{FF2B5EF4-FFF2-40B4-BE49-F238E27FC236}">
                  <a16:creationId xmlns:a16="http://schemas.microsoft.com/office/drawing/2014/main" id="{3F4EB9B0-3B3C-F815-844C-E7E213FBDF42}"/>
                </a:ext>
              </a:extLst>
            </xdr:cNvPr>
            <xdr:cNvGraphicFramePr/>
          </xdr:nvGraphicFramePr>
          <xdr:xfrm>
            <a:off x="0" y="0"/>
            <a:ext cx="0" cy="0"/>
          </xdr:xfrm>
          <a:graphic>
            <a:graphicData uri="http://schemas.microsoft.com/office/drawing/2010/slicer">
              <sle:slicer xmlns:sle="http://schemas.microsoft.com/office/drawing/2010/slicer" name="CreditBand"/>
            </a:graphicData>
          </a:graphic>
        </xdr:graphicFrame>
      </mc:Choice>
      <mc:Fallback xmlns="">
        <xdr:sp macro="" textlink="">
          <xdr:nvSpPr>
            <xdr:cNvPr id="0" name=""/>
            <xdr:cNvSpPr>
              <a:spLocks noTextEdit="1"/>
            </xdr:cNvSpPr>
          </xdr:nvSpPr>
          <xdr:spPr>
            <a:xfrm>
              <a:off x="7040880" y="1981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594360</xdr:colOff>
      <xdr:row>10</xdr:row>
      <xdr:rowOff>76200</xdr:rowOff>
    </xdr:from>
    <xdr:to>
      <xdr:col>12</xdr:col>
      <xdr:colOff>594360</xdr:colOff>
      <xdr:row>23</xdr:row>
      <xdr:rowOff>165735</xdr:rowOff>
    </xdr:to>
    <mc:AlternateContent xmlns:mc="http://schemas.openxmlformats.org/markup-compatibility/2006" xmlns:a14="http://schemas.microsoft.com/office/drawing/2010/main">
      <mc:Choice Requires="a14">
        <xdr:graphicFrame macro="">
          <xdr:nvGraphicFramePr>
            <xdr:cNvPr id="6" name="LoanType">
              <a:extLst>
                <a:ext uri="{FF2B5EF4-FFF2-40B4-BE49-F238E27FC236}">
                  <a16:creationId xmlns:a16="http://schemas.microsoft.com/office/drawing/2014/main" id="{C9F60AFC-121A-2C3F-5834-D366A78962BF}"/>
                </a:ext>
              </a:extLst>
            </xdr:cNvPr>
            <xdr:cNvGraphicFramePr/>
          </xdr:nvGraphicFramePr>
          <xdr:xfrm>
            <a:off x="0" y="0"/>
            <a:ext cx="0" cy="0"/>
          </xdr:xfrm>
          <a:graphic>
            <a:graphicData uri="http://schemas.microsoft.com/office/drawing/2010/slicer">
              <sle:slicer xmlns:sle="http://schemas.microsoft.com/office/drawing/2010/slicer" name="LoanType"/>
            </a:graphicData>
          </a:graphic>
        </xdr:graphicFrame>
      </mc:Choice>
      <mc:Fallback xmlns="">
        <xdr:sp macro="" textlink="">
          <xdr:nvSpPr>
            <xdr:cNvPr id="0" name=""/>
            <xdr:cNvSpPr>
              <a:spLocks noTextEdit="1"/>
            </xdr:cNvSpPr>
          </xdr:nvSpPr>
          <xdr:spPr>
            <a:xfrm>
              <a:off x="7018020" y="1905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236220</xdr:colOff>
      <xdr:row>1</xdr:row>
      <xdr:rowOff>0</xdr:rowOff>
    </xdr:from>
    <xdr:to>
      <xdr:col>16</xdr:col>
      <xdr:colOff>236220</xdr:colOff>
      <xdr:row>14</xdr:row>
      <xdr:rowOff>89535</xdr:rowOff>
    </xdr:to>
    <mc:AlternateContent xmlns:mc="http://schemas.openxmlformats.org/markup-compatibility/2006" xmlns:a14="http://schemas.microsoft.com/office/drawing/2010/main">
      <mc:Choice Requires="a14">
        <xdr:graphicFrame macro="">
          <xdr:nvGraphicFramePr>
            <xdr:cNvPr id="7" name="PreferredChannel">
              <a:extLst>
                <a:ext uri="{FF2B5EF4-FFF2-40B4-BE49-F238E27FC236}">
                  <a16:creationId xmlns:a16="http://schemas.microsoft.com/office/drawing/2014/main" id="{13A826BC-CE72-2C60-B774-89068680B2FB}"/>
                </a:ext>
              </a:extLst>
            </xdr:cNvPr>
            <xdr:cNvGraphicFramePr/>
          </xdr:nvGraphicFramePr>
          <xdr:xfrm>
            <a:off x="0" y="0"/>
            <a:ext cx="0" cy="0"/>
          </xdr:xfrm>
          <a:graphic>
            <a:graphicData uri="http://schemas.microsoft.com/office/drawing/2010/slicer">
              <sle:slicer xmlns:sle="http://schemas.microsoft.com/office/drawing/2010/slicer" name="PreferredChannel"/>
            </a:graphicData>
          </a:graphic>
        </xdr:graphicFrame>
      </mc:Choice>
      <mc:Fallback xmlns="">
        <xdr:sp macro="" textlink="">
          <xdr:nvSpPr>
            <xdr:cNvPr id="0" name=""/>
            <xdr:cNvSpPr>
              <a:spLocks noTextEdit="1"/>
            </xdr:cNvSpPr>
          </xdr:nvSpPr>
          <xdr:spPr>
            <a:xfrm>
              <a:off x="9098280" y="1828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556260</xdr:colOff>
      <xdr:row>2</xdr:row>
      <xdr:rowOff>121920</xdr:rowOff>
    </xdr:from>
    <xdr:to>
      <xdr:col>19</xdr:col>
      <xdr:colOff>556260</xdr:colOff>
      <xdr:row>16</xdr:row>
      <xdr:rowOff>28575</xdr:rowOff>
    </xdr:to>
    <mc:AlternateContent xmlns:mc="http://schemas.openxmlformats.org/markup-compatibility/2006" xmlns:a14="http://schemas.microsoft.com/office/drawing/2010/main">
      <mc:Choice Requires="a14">
        <xdr:graphicFrame macro="">
          <xdr:nvGraphicFramePr>
            <xdr:cNvPr id="8" name="Churned">
              <a:extLst>
                <a:ext uri="{FF2B5EF4-FFF2-40B4-BE49-F238E27FC236}">
                  <a16:creationId xmlns:a16="http://schemas.microsoft.com/office/drawing/2014/main" id="{1E37444B-F309-7300-0424-2098BD378A8A}"/>
                </a:ext>
              </a:extLst>
            </xdr:cNvPr>
            <xdr:cNvGraphicFramePr/>
          </xdr:nvGraphicFramePr>
          <xdr:xfrm>
            <a:off x="0" y="0"/>
            <a:ext cx="0" cy="0"/>
          </xdr:xfrm>
          <a:graphic>
            <a:graphicData uri="http://schemas.microsoft.com/office/drawing/2010/slicer">
              <sle:slicer xmlns:sle="http://schemas.microsoft.com/office/drawing/2010/slicer" name="Churned"/>
            </a:graphicData>
          </a:graphic>
        </xdr:graphicFrame>
      </mc:Choice>
      <mc:Fallback xmlns="">
        <xdr:sp macro="" textlink="">
          <xdr:nvSpPr>
            <xdr:cNvPr id="0" name=""/>
            <xdr:cNvSpPr>
              <a:spLocks noTextEdit="1"/>
            </xdr:cNvSpPr>
          </xdr:nvSpPr>
          <xdr:spPr>
            <a:xfrm>
              <a:off x="11247120" y="4876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144780</xdr:colOff>
      <xdr:row>11</xdr:row>
      <xdr:rowOff>49530</xdr:rowOff>
    </xdr:from>
    <xdr:to>
      <xdr:col>6</xdr:col>
      <xdr:colOff>121920</xdr:colOff>
      <xdr:row>26</xdr:row>
      <xdr:rowOff>49530</xdr:rowOff>
    </xdr:to>
    <xdr:graphicFrame macro="">
      <xdr:nvGraphicFramePr>
        <xdr:cNvPr id="2" name="Chart 1">
          <a:extLst>
            <a:ext uri="{FF2B5EF4-FFF2-40B4-BE49-F238E27FC236}">
              <a16:creationId xmlns:a16="http://schemas.microsoft.com/office/drawing/2014/main" id="{02588622-EC56-59A6-D966-30B3D00D3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464820</xdr:colOff>
      <xdr:row>0</xdr:row>
      <xdr:rowOff>7620</xdr:rowOff>
    </xdr:from>
    <xdr:to>
      <xdr:col>10</xdr:col>
      <xdr:colOff>464820</xdr:colOff>
      <xdr:row>13</xdr:row>
      <xdr:rowOff>97155</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15A4823D-78D4-40BA-EDC9-3B2026422D1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669280" y="7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335280</xdr:colOff>
      <xdr:row>2</xdr:row>
      <xdr:rowOff>121920</xdr:rowOff>
    </xdr:from>
    <xdr:to>
      <xdr:col>11</xdr:col>
      <xdr:colOff>335280</xdr:colOff>
      <xdr:row>16</xdr:row>
      <xdr:rowOff>28575</xdr:rowOff>
    </xdr:to>
    <mc:AlternateContent xmlns:mc="http://schemas.openxmlformats.org/markup-compatibility/2006" xmlns:a14="http://schemas.microsoft.com/office/drawing/2010/main">
      <mc:Choice Requires="a14">
        <xdr:graphicFrame macro="">
          <xdr:nvGraphicFramePr>
            <xdr:cNvPr id="4" name="AccountType 1">
              <a:extLst>
                <a:ext uri="{FF2B5EF4-FFF2-40B4-BE49-F238E27FC236}">
                  <a16:creationId xmlns:a16="http://schemas.microsoft.com/office/drawing/2014/main" id="{0A38A64B-0463-A9A0-9256-902E5F1D1A07}"/>
                </a:ext>
              </a:extLst>
            </xdr:cNvPr>
            <xdr:cNvGraphicFramePr/>
          </xdr:nvGraphicFramePr>
          <xdr:xfrm>
            <a:off x="0" y="0"/>
            <a:ext cx="0" cy="0"/>
          </xdr:xfrm>
          <a:graphic>
            <a:graphicData uri="http://schemas.microsoft.com/office/drawing/2010/slicer">
              <sle:slicer xmlns:sle="http://schemas.microsoft.com/office/drawing/2010/slicer" name="AccountType 1"/>
            </a:graphicData>
          </a:graphic>
        </xdr:graphicFrame>
      </mc:Choice>
      <mc:Fallback xmlns="">
        <xdr:sp macro="" textlink="">
          <xdr:nvSpPr>
            <xdr:cNvPr id="0" name=""/>
            <xdr:cNvSpPr>
              <a:spLocks noTextEdit="1"/>
            </xdr:cNvSpPr>
          </xdr:nvSpPr>
          <xdr:spPr>
            <a:xfrm>
              <a:off x="6149340" y="4876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205740</xdr:colOff>
      <xdr:row>5</xdr:row>
      <xdr:rowOff>53340</xdr:rowOff>
    </xdr:from>
    <xdr:to>
      <xdr:col>12</xdr:col>
      <xdr:colOff>205740</xdr:colOff>
      <xdr:row>18</xdr:row>
      <xdr:rowOff>142875</xdr:rowOff>
    </xdr:to>
    <mc:AlternateContent xmlns:mc="http://schemas.openxmlformats.org/markup-compatibility/2006" xmlns:a14="http://schemas.microsoft.com/office/drawing/2010/main">
      <mc:Choice Requires="a14">
        <xdr:graphicFrame macro="">
          <xdr:nvGraphicFramePr>
            <xdr:cNvPr id="5" name="CreditBand 1">
              <a:extLst>
                <a:ext uri="{FF2B5EF4-FFF2-40B4-BE49-F238E27FC236}">
                  <a16:creationId xmlns:a16="http://schemas.microsoft.com/office/drawing/2014/main" id="{3C77DAE5-C841-2B27-11C8-65FE4ABC4B3E}"/>
                </a:ext>
              </a:extLst>
            </xdr:cNvPr>
            <xdr:cNvGraphicFramePr/>
          </xdr:nvGraphicFramePr>
          <xdr:xfrm>
            <a:off x="0" y="0"/>
            <a:ext cx="0" cy="0"/>
          </xdr:xfrm>
          <a:graphic>
            <a:graphicData uri="http://schemas.microsoft.com/office/drawing/2010/slicer">
              <sle:slicer xmlns:sle="http://schemas.microsoft.com/office/drawing/2010/slicer" name="CreditBand 1"/>
            </a:graphicData>
          </a:graphic>
        </xdr:graphicFrame>
      </mc:Choice>
      <mc:Fallback xmlns="">
        <xdr:sp macro="" textlink="">
          <xdr:nvSpPr>
            <xdr:cNvPr id="0" name=""/>
            <xdr:cNvSpPr>
              <a:spLocks noTextEdit="1"/>
            </xdr:cNvSpPr>
          </xdr:nvSpPr>
          <xdr:spPr>
            <a:xfrm>
              <a:off x="6629400" y="9677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76200</xdr:colOff>
      <xdr:row>7</xdr:row>
      <xdr:rowOff>167640</xdr:rowOff>
    </xdr:from>
    <xdr:to>
      <xdr:col>13</xdr:col>
      <xdr:colOff>76200</xdr:colOff>
      <xdr:row>21</xdr:row>
      <xdr:rowOff>74295</xdr:rowOff>
    </xdr:to>
    <mc:AlternateContent xmlns:mc="http://schemas.openxmlformats.org/markup-compatibility/2006" xmlns:a14="http://schemas.microsoft.com/office/drawing/2010/main">
      <mc:Choice Requires="a14">
        <xdr:graphicFrame macro="">
          <xdr:nvGraphicFramePr>
            <xdr:cNvPr id="6" name="LoanType 1">
              <a:extLst>
                <a:ext uri="{FF2B5EF4-FFF2-40B4-BE49-F238E27FC236}">
                  <a16:creationId xmlns:a16="http://schemas.microsoft.com/office/drawing/2014/main" id="{B7A0FFC0-DB9F-A439-2B48-72092E92E03C}"/>
                </a:ext>
              </a:extLst>
            </xdr:cNvPr>
            <xdr:cNvGraphicFramePr/>
          </xdr:nvGraphicFramePr>
          <xdr:xfrm>
            <a:off x="0" y="0"/>
            <a:ext cx="0" cy="0"/>
          </xdr:xfrm>
          <a:graphic>
            <a:graphicData uri="http://schemas.microsoft.com/office/drawing/2010/slicer">
              <sle:slicer xmlns:sle="http://schemas.microsoft.com/office/drawing/2010/slicer" name="LoanType 1"/>
            </a:graphicData>
          </a:graphic>
        </xdr:graphicFrame>
      </mc:Choice>
      <mc:Fallback xmlns="">
        <xdr:sp macro="" textlink="">
          <xdr:nvSpPr>
            <xdr:cNvPr id="0" name=""/>
            <xdr:cNvSpPr>
              <a:spLocks noTextEdit="1"/>
            </xdr:cNvSpPr>
          </xdr:nvSpPr>
          <xdr:spPr>
            <a:xfrm>
              <a:off x="7109460" y="14478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556260</xdr:colOff>
      <xdr:row>10</xdr:row>
      <xdr:rowOff>99060</xdr:rowOff>
    </xdr:from>
    <xdr:to>
      <xdr:col>13</xdr:col>
      <xdr:colOff>556260</xdr:colOff>
      <xdr:row>24</xdr:row>
      <xdr:rowOff>5715</xdr:rowOff>
    </xdr:to>
    <mc:AlternateContent xmlns:mc="http://schemas.openxmlformats.org/markup-compatibility/2006" xmlns:a14="http://schemas.microsoft.com/office/drawing/2010/main">
      <mc:Choice Requires="a14">
        <xdr:graphicFrame macro="">
          <xdr:nvGraphicFramePr>
            <xdr:cNvPr id="7" name="PreferredChannel 1">
              <a:extLst>
                <a:ext uri="{FF2B5EF4-FFF2-40B4-BE49-F238E27FC236}">
                  <a16:creationId xmlns:a16="http://schemas.microsoft.com/office/drawing/2014/main" id="{DE916C2B-796D-71AA-8A8A-FC9B7BF5413D}"/>
                </a:ext>
              </a:extLst>
            </xdr:cNvPr>
            <xdr:cNvGraphicFramePr/>
          </xdr:nvGraphicFramePr>
          <xdr:xfrm>
            <a:off x="0" y="0"/>
            <a:ext cx="0" cy="0"/>
          </xdr:xfrm>
          <a:graphic>
            <a:graphicData uri="http://schemas.microsoft.com/office/drawing/2010/slicer">
              <sle:slicer xmlns:sle="http://schemas.microsoft.com/office/drawing/2010/slicer" name="PreferredChannel 1"/>
            </a:graphicData>
          </a:graphic>
        </xdr:graphicFrame>
      </mc:Choice>
      <mc:Fallback xmlns="">
        <xdr:sp macro="" textlink="">
          <xdr:nvSpPr>
            <xdr:cNvPr id="0" name=""/>
            <xdr:cNvSpPr>
              <a:spLocks noTextEdit="1"/>
            </xdr:cNvSpPr>
          </xdr:nvSpPr>
          <xdr:spPr>
            <a:xfrm>
              <a:off x="7589520" y="19278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114300</xdr:colOff>
      <xdr:row>12</xdr:row>
      <xdr:rowOff>114300</xdr:rowOff>
    </xdr:from>
    <xdr:to>
      <xdr:col>15</xdr:col>
      <xdr:colOff>114300</xdr:colOff>
      <xdr:row>26</xdr:row>
      <xdr:rowOff>20955</xdr:rowOff>
    </xdr:to>
    <mc:AlternateContent xmlns:mc="http://schemas.openxmlformats.org/markup-compatibility/2006" xmlns:a14="http://schemas.microsoft.com/office/drawing/2010/main">
      <mc:Choice Requires="a14">
        <xdr:graphicFrame macro="">
          <xdr:nvGraphicFramePr>
            <xdr:cNvPr id="8" name="Churned 1">
              <a:extLst>
                <a:ext uri="{FF2B5EF4-FFF2-40B4-BE49-F238E27FC236}">
                  <a16:creationId xmlns:a16="http://schemas.microsoft.com/office/drawing/2014/main" id="{2687302A-91A9-A7E4-7075-5AB75A423271}"/>
                </a:ext>
              </a:extLst>
            </xdr:cNvPr>
            <xdr:cNvGraphicFramePr/>
          </xdr:nvGraphicFramePr>
          <xdr:xfrm>
            <a:off x="0" y="0"/>
            <a:ext cx="0" cy="0"/>
          </xdr:xfrm>
          <a:graphic>
            <a:graphicData uri="http://schemas.microsoft.com/office/drawing/2010/slicer">
              <sle:slicer xmlns:sle="http://schemas.microsoft.com/office/drawing/2010/slicer" name="Churned 1"/>
            </a:graphicData>
          </a:graphic>
        </xdr:graphicFrame>
      </mc:Choice>
      <mc:Fallback xmlns="">
        <xdr:sp macro="" textlink="">
          <xdr:nvSpPr>
            <xdr:cNvPr id="0" name=""/>
            <xdr:cNvSpPr>
              <a:spLocks noTextEdit="1"/>
            </xdr:cNvSpPr>
          </xdr:nvSpPr>
          <xdr:spPr>
            <a:xfrm>
              <a:off x="8366760" y="23088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205740</xdr:colOff>
      <xdr:row>10</xdr:row>
      <xdr:rowOff>110490</xdr:rowOff>
    </xdr:from>
    <xdr:to>
      <xdr:col>4</xdr:col>
      <xdr:colOff>160020</xdr:colOff>
      <xdr:row>26</xdr:row>
      <xdr:rowOff>114300</xdr:rowOff>
    </xdr:to>
    <xdr:graphicFrame macro="">
      <xdr:nvGraphicFramePr>
        <xdr:cNvPr id="2" name="Chart 1">
          <a:extLst>
            <a:ext uri="{FF2B5EF4-FFF2-40B4-BE49-F238E27FC236}">
              <a16:creationId xmlns:a16="http://schemas.microsoft.com/office/drawing/2014/main" id="{5A169A43-9288-CEAE-08C0-ED679B34D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350520</xdr:colOff>
      <xdr:row>0</xdr:row>
      <xdr:rowOff>167640</xdr:rowOff>
    </xdr:from>
    <xdr:to>
      <xdr:col>8</xdr:col>
      <xdr:colOff>350520</xdr:colOff>
      <xdr:row>14</xdr:row>
      <xdr:rowOff>74295</xdr:rowOff>
    </xdr:to>
    <mc:AlternateContent xmlns:mc="http://schemas.openxmlformats.org/markup-compatibility/2006" xmlns:a14="http://schemas.microsoft.com/office/drawing/2010/main">
      <mc:Choice Requires="a14">
        <xdr:graphicFrame macro="">
          <xdr:nvGraphicFramePr>
            <xdr:cNvPr id="3" name="Region 2">
              <a:extLst>
                <a:ext uri="{FF2B5EF4-FFF2-40B4-BE49-F238E27FC236}">
                  <a16:creationId xmlns:a16="http://schemas.microsoft.com/office/drawing/2014/main" id="{EFCA83A6-3FD9-860B-F584-D8CD4BD47B05}"/>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5783580" y="1676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220980</xdr:colOff>
      <xdr:row>3</xdr:row>
      <xdr:rowOff>99060</xdr:rowOff>
    </xdr:from>
    <xdr:to>
      <xdr:col>9</xdr:col>
      <xdr:colOff>220980</xdr:colOff>
      <xdr:row>17</xdr:row>
      <xdr:rowOff>5715</xdr:rowOff>
    </xdr:to>
    <mc:AlternateContent xmlns:mc="http://schemas.openxmlformats.org/markup-compatibility/2006" xmlns:a14="http://schemas.microsoft.com/office/drawing/2010/main">
      <mc:Choice Requires="a14">
        <xdr:graphicFrame macro="">
          <xdr:nvGraphicFramePr>
            <xdr:cNvPr id="4" name="AccountType 2">
              <a:extLst>
                <a:ext uri="{FF2B5EF4-FFF2-40B4-BE49-F238E27FC236}">
                  <a16:creationId xmlns:a16="http://schemas.microsoft.com/office/drawing/2014/main" id="{3731E933-104B-16B2-5B94-ACDC62C3E99E}"/>
                </a:ext>
              </a:extLst>
            </xdr:cNvPr>
            <xdr:cNvGraphicFramePr/>
          </xdr:nvGraphicFramePr>
          <xdr:xfrm>
            <a:off x="0" y="0"/>
            <a:ext cx="0" cy="0"/>
          </xdr:xfrm>
          <a:graphic>
            <a:graphicData uri="http://schemas.microsoft.com/office/drawing/2010/slicer">
              <sle:slicer xmlns:sle="http://schemas.microsoft.com/office/drawing/2010/slicer" name="AccountType 2"/>
            </a:graphicData>
          </a:graphic>
        </xdr:graphicFrame>
      </mc:Choice>
      <mc:Fallback xmlns="">
        <xdr:sp macro="" textlink="">
          <xdr:nvSpPr>
            <xdr:cNvPr id="0" name=""/>
            <xdr:cNvSpPr>
              <a:spLocks noTextEdit="1"/>
            </xdr:cNvSpPr>
          </xdr:nvSpPr>
          <xdr:spPr>
            <a:xfrm>
              <a:off x="6263640" y="6477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91440</xdr:colOff>
      <xdr:row>6</xdr:row>
      <xdr:rowOff>30480</xdr:rowOff>
    </xdr:from>
    <xdr:to>
      <xdr:col>10</xdr:col>
      <xdr:colOff>91440</xdr:colOff>
      <xdr:row>19</xdr:row>
      <xdr:rowOff>120015</xdr:rowOff>
    </xdr:to>
    <mc:AlternateContent xmlns:mc="http://schemas.openxmlformats.org/markup-compatibility/2006" xmlns:a14="http://schemas.microsoft.com/office/drawing/2010/main">
      <mc:Choice Requires="a14">
        <xdr:graphicFrame macro="">
          <xdr:nvGraphicFramePr>
            <xdr:cNvPr id="5" name="CreditBand 2">
              <a:extLst>
                <a:ext uri="{FF2B5EF4-FFF2-40B4-BE49-F238E27FC236}">
                  <a16:creationId xmlns:a16="http://schemas.microsoft.com/office/drawing/2014/main" id="{5FCDAA34-9318-9F46-3F1F-F63A67EF34CE}"/>
                </a:ext>
              </a:extLst>
            </xdr:cNvPr>
            <xdr:cNvGraphicFramePr/>
          </xdr:nvGraphicFramePr>
          <xdr:xfrm>
            <a:off x="0" y="0"/>
            <a:ext cx="0" cy="0"/>
          </xdr:xfrm>
          <a:graphic>
            <a:graphicData uri="http://schemas.microsoft.com/office/drawing/2010/slicer">
              <sle:slicer xmlns:sle="http://schemas.microsoft.com/office/drawing/2010/slicer" name="CreditBand 2"/>
            </a:graphicData>
          </a:graphic>
        </xdr:graphicFrame>
      </mc:Choice>
      <mc:Fallback xmlns="">
        <xdr:sp macro="" textlink="">
          <xdr:nvSpPr>
            <xdr:cNvPr id="0" name=""/>
            <xdr:cNvSpPr>
              <a:spLocks noTextEdit="1"/>
            </xdr:cNvSpPr>
          </xdr:nvSpPr>
          <xdr:spPr>
            <a:xfrm>
              <a:off x="6743700" y="11277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571500</xdr:colOff>
      <xdr:row>8</xdr:row>
      <xdr:rowOff>144780</xdr:rowOff>
    </xdr:from>
    <xdr:to>
      <xdr:col>10</xdr:col>
      <xdr:colOff>571500</xdr:colOff>
      <xdr:row>22</xdr:row>
      <xdr:rowOff>51435</xdr:rowOff>
    </xdr:to>
    <mc:AlternateContent xmlns:mc="http://schemas.openxmlformats.org/markup-compatibility/2006" xmlns:a14="http://schemas.microsoft.com/office/drawing/2010/main">
      <mc:Choice Requires="a14">
        <xdr:graphicFrame macro="">
          <xdr:nvGraphicFramePr>
            <xdr:cNvPr id="6" name="LoanType 2">
              <a:extLst>
                <a:ext uri="{FF2B5EF4-FFF2-40B4-BE49-F238E27FC236}">
                  <a16:creationId xmlns:a16="http://schemas.microsoft.com/office/drawing/2014/main" id="{522A3923-386C-4B72-1F69-78156A5C5DAD}"/>
                </a:ext>
              </a:extLst>
            </xdr:cNvPr>
            <xdr:cNvGraphicFramePr/>
          </xdr:nvGraphicFramePr>
          <xdr:xfrm>
            <a:off x="0" y="0"/>
            <a:ext cx="0" cy="0"/>
          </xdr:xfrm>
          <a:graphic>
            <a:graphicData uri="http://schemas.microsoft.com/office/drawing/2010/slicer">
              <sle:slicer xmlns:sle="http://schemas.microsoft.com/office/drawing/2010/slicer" name="LoanType 2"/>
            </a:graphicData>
          </a:graphic>
        </xdr:graphicFrame>
      </mc:Choice>
      <mc:Fallback xmlns="">
        <xdr:sp macro="" textlink="">
          <xdr:nvSpPr>
            <xdr:cNvPr id="0" name=""/>
            <xdr:cNvSpPr>
              <a:spLocks noTextEdit="1"/>
            </xdr:cNvSpPr>
          </xdr:nvSpPr>
          <xdr:spPr>
            <a:xfrm>
              <a:off x="7223760" y="16078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441960</xdr:colOff>
      <xdr:row>11</xdr:row>
      <xdr:rowOff>76200</xdr:rowOff>
    </xdr:from>
    <xdr:to>
      <xdr:col>11</xdr:col>
      <xdr:colOff>441960</xdr:colOff>
      <xdr:row>24</xdr:row>
      <xdr:rowOff>165735</xdr:rowOff>
    </xdr:to>
    <mc:AlternateContent xmlns:mc="http://schemas.openxmlformats.org/markup-compatibility/2006" xmlns:a14="http://schemas.microsoft.com/office/drawing/2010/main">
      <mc:Choice Requires="a14">
        <xdr:graphicFrame macro="">
          <xdr:nvGraphicFramePr>
            <xdr:cNvPr id="7" name="PreferredChannel 2">
              <a:extLst>
                <a:ext uri="{FF2B5EF4-FFF2-40B4-BE49-F238E27FC236}">
                  <a16:creationId xmlns:a16="http://schemas.microsoft.com/office/drawing/2014/main" id="{E7FD31A8-8961-E1D1-C91A-41C5E3C6D632}"/>
                </a:ext>
              </a:extLst>
            </xdr:cNvPr>
            <xdr:cNvGraphicFramePr/>
          </xdr:nvGraphicFramePr>
          <xdr:xfrm>
            <a:off x="0" y="0"/>
            <a:ext cx="0" cy="0"/>
          </xdr:xfrm>
          <a:graphic>
            <a:graphicData uri="http://schemas.microsoft.com/office/drawing/2010/slicer">
              <sle:slicer xmlns:sle="http://schemas.microsoft.com/office/drawing/2010/slicer" name="PreferredChannel 2"/>
            </a:graphicData>
          </a:graphic>
        </xdr:graphicFrame>
      </mc:Choice>
      <mc:Fallback xmlns="">
        <xdr:sp macro="" textlink="">
          <xdr:nvSpPr>
            <xdr:cNvPr id="0" name=""/>
            <xdr:cNvSpPr>
              <a:spLocks noTextEdit="1"/>
            </xdr:cNvSpPr>
          </xdr:nvSpPr>
          <xdr:spPr>
            <a:xfrm>
              <a:off x="7703820" y="20878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312420</xdr:colOff>
      <xdr:row>14</xdr:row>
      <xdr:rowOff>7620</xdr:rowOff>
    </xdr:from>
    <xdr:to>
      <xdr:col>12</xdr:col>
      <xdr:colOff>312420</xdr:colOff>
      <xdr:row>27</xdr:row>
      <xdr:rowOff>97155</xdr:rowOff>
    </xdr:to>
    <mc:AlternateContent xmlns:mc="http://schemas.openxmlformats.org/markup-compatibility/2006" xmlns:a14="http://schemas.microsoft.com/office/drawing/2010/main">
      <mc:Choice Requires="a14">
        <xdr:graphicFrame macro="">
          <xdr:nvGraphicFramePr>
            <xdr:cNvPr id="8" name="Churned 2">
              <a:extLst>
                <a:ext uri="{FF2B5EF4-FFF2-40B4-BE49-F238E27FC236}">
                  <a16:creationId xmlns:a16="http://schemas.microsoft.com/office/drawing/2014/main" id="{9E229327-5FCE-4BD0-114B-6D6723F8325F}"/>
                </a:ext>
              </a:extLst>
            </xdr:cNvPr>
            <xdr:cNvGraphicFramePr/>
          </xdr:nvGraphicFramePr>
          <xdr:xfrm>
            <a:off x="0" y="0"/>
            <a:ext cx="0" cy="0"/>
          </xdr:xfrm>
          <a:graphic>
            <a:graphicData uri="http://schemas.microsoft.com/office/drawing/2010/slicer">
              <sle:slicer xmlns:sle="http://schemas.microsoft.com/office/drawing/2010/slicer" name="Churned 2"/>
            </a:graphicData>
          </a:graphic>
        </xdr:graphicFrame>
      </mc:Choice>
      <mc:Fallback xmlns="">
        <xdr:sp macro="" textlink="">
          <xdr:nvSpPr>
            <xdr:cNvPr id="0" name=""/>
            <xdr:cNvSpPr>
              <a:spLocks noTextEdit="1"/>
            </xdr:cNvSpPr>
          </xdr:nvSpPr>
          <xdr:spPr>
            <a:xfrm>
              <a:off x="8183880" y="2567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144780</xdr:colOff>
      <xdr:row>10</xdr:row>
      <xdr:rowOff>140970</xdr:rowOff>
    </xdr:from>
    <xdr:to>
      <xdr:col>5</xdr:col>
      <xdr:colOff>601980</xdr:colOff>
      <xdr:row>25</xdr:row>
      <xdr:rowOff>140970</xdr:rowOff>
    </xdr:to>
    <xdr:graphicFrame macro="">
      <xdr:nvGraphicFramePr>
        <xdr:cNvPr id="2" name="Chart 1">
          <a:extLst>
            <a:ext uri="{FF2B5EF4-FFF2-40B4-BE49-F238E27FC236}">
              <a16:creationId xmlns:a16="http://schemas.microsoft.com/office/drawing/2014/main" id="{37E8263D-6CB4-D2AB-4C59-BC0F03A045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251460</xdr:colOff>
      <xdr:row>0</xdr:row>
      <xdr:rowOff>38100</xdr:rowOff>
    </xdr:from>
    <xdr:to>
      <xdr:col>9</xdr:col>
      <xdr:colOff>251460</xdr:colOff>
      <xdr:row>13</xdr:row>
      <xdr:rowOff>127635</xdr:rowOff>
    </xdr:to>
    <mc:AlternateContent xmlns:mc="http://schemas.openxmlformats.org/markup-compatibility/2006" xmlns:a14="http://schemas.microsoft.com/office/drawing/2010/main">
      <mc:Choice Requires="a14">
        <xdr:graphicFrame macro="">
          <xdr:nvGraphicFramePr>
            <xdr:cNvPr id="3" name="Region 3">
              <a:extLst>
                <a:ext uri="{FF2B5EF4-FFF2-40B4-BE49-F238E27FC236}">
                  <a16:creationId xmlns:a16="http://schemas.microsoft.com/office/drawing/2014/main" id="{7C805826-1CED-77DD-5D74-79EE548F387A}"/>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4975860" y="38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121920</xdr:colOff>
      <xdr:row>2</xdr:row>
      <xdr:rowOff>152400</xdr:rowOff>
    </xdr:from>
    <xdr:to>
      <xdr:col>10</xdr:col>
      <xdr:colOff>121920</xdr:colOff>
      <xdr:row>16</xdr:row>
      <xdr:rowOff>59055</xdr:rowOff>
    </xdr:to>
    <mc:AlternateContent xmlns:mc="http://schemas.openxmlformats.org/markup-compatibility/2006" xmlns:a14="http://schemas.microsoft.com/office/drawing/2010/main">
      <mc:Choice Requires="a14">
        <xdr:graphicFrame macro="">
          <xdr:nvGraphicFramePr>
            <xdr:cNvPr id="4" name="AccountType 3">
              <a:extLst>
                <a:ext uri="{FF2B5EF4-FFF2-40B4-BE49-F238E27FC236}">
                  <a16:creationId xmlns:a16="http://schemas.microsoft.com/office/drawing/2014/main" id="{10583B20-8484-AD3D-FCBA-20E560B99841}"/>
                </a:ext>
              </a:extLst>
            </xdr:cNvPr>
            <xdr:cNvGraphicFramePr/>
          </xdr:nvGraphicFramePr>
          <xdr:xfrm>
            <a:off x="0" y="0"/>
            <a:ext cx="0" cy="0"/>
          </xdr:xfrm>
          <a:graphic>
            <a:graphicData uri="http://schemas.microsoft.com/office/drawing/2010/slicer">
              <sle:slicer xmlns:sle="http://schemas.microsoft.com/office/drawing/2010/slicer" name="AccountType 3"/>
            </a:graphicData>
          </a:graphic>
        </xdr:graphicFrame>
      </mc:Choice>
      <mc:Fallback xmlns="">
        <xdr:sp macro="" textlink="">
          <xdr:nvSpPr>
            <xdr:cNvPr id="0" name=""/>
            <xdr:cNvSpPr>
              <a:spLocks noTextEdit="1"/>
            </xdr:cNvSpPr>
          </xdr:nvSpPr>
          <xdr:spPr>
            <a:xfrm>
              <a:off x="5455920" y="5181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601980</xdr:colOff>
      <xdr:row>5</xdr:row>
      <xdr:rowOff>83820</xdr:rowOff>
    </xdr:from>
    <xdr:to>
      <xdr:col>10</xdr:col>
      <xdr:colOff>601980</xdr:colOff>
      <xdr:row>18</xdr:row>
      <xdr:rowOff>173355</xdr:rowOff>
    </xdr:to>
    <mc:AlternateContent xmlns:mc="http://schemas.openxmlformats.org/markup-compatibility/2006" xmlns:a14="http://schemas.microsoft.com/office/drawing/2010/main">
      <mc:Choice Requires="a14">
        <xdr:graphicFrame macro="">
          <xdr:nvGraphicFramePr>
            <xdr:cNvPr id="5" name="CreditBand 3">
              <a:extLst>
                <a:ext uri="{FF2B5EF4-FFF2-40B4-BE49-F238E27FC236}">
                  <a16:creationId xmlns:a16="http://schemas.microsoft.com/office/drawing/2014/main" id="{B326BC4F-7ED0-C089-5A1D-874CCAA77CEB}"/>
                </a:ext>
              </a:extLst>
            </xdr:cNvPr>
            <xdr:cNvGraphicFramePr/>
          </xdr:nvGraphicFramePr>
          <xdr:xfrm>
            <a:off x="0" y="0"/>
            <a:ext cx="0" cy="0"/>
          </xdr:xfrm>
          <a:graphic>
            <a:graphicData uri="http://schemas.microsoft.com/office/drawing/2010/slicer">
              <sle:slicer xmlns:sle="http://schemas.microsoft.com/office/drawing/2010/slicer" name="CreditBand 3"/>
            </a:graphicData>
          </a:graphic>
        </xdr:graphicFrame>
      </mc:Choice>
      <mc:Fallback xmlns="">
        <xdr:sp macro="" textlink="">
          <xdr:nvSpPr>
            <xdr:cNvPr id="0" name=""/>
            <xdr:cNvSpPr>
              <a:spLocks noTextEdit="1"/>
            </xdr:cNvSpPr>
          </xdr:nvSpPr>
          <xdr:spPr>
            <a:xfrm>
              <a:off x="5935980" y="9982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472440</xdr:colOff>
      <xdr:row>8</xdr:row>
      <xdr:rowOff>15240</xdr:rowOff>
    </xdr:from>
    <xdr:to>
      <xdr:col>11</xdr:col>
      <xdr:colOff>472440</xdr:colOff>
      <xdr:row>21</xdr:row>
      <xdr:rowOff>104775</xdr:rowOff>
    </xdr:to>
    <mc:AlternateContent xmlns:mc="http://schemas.openxmlformats.org/markup-compatibility/2006" xmlns:a14="http://schemas.microsoft.com/office/drawing/2010/main">
      <mc:Choice Requires="a14">
        <xdr:graphicFrame macro="">
          <xdr:nvGraphicFramePr>
            <xdr:cNvPr id="6" name="LoanType 3">
              <a:extLst>
                <a:ext uri="{FF2B5EF4-FFF2-40B4-BE49-F238E27FC236}">
                  <a16:creationId xmlns:a16="http://schemas.microsoft.com/office/drawing/2014/main" id="{C2AFAB0E-864E-27C8-0C96-4B2149F2E660}"/>
                </a:ext>
              </a:extLst>
            </xdr:cNvPr>
            <xdr:cNvGraphicFramePr/>
          </xdr:nvGraphicFramePr>
          <xdr:xfrm>
            <a:off x="0" y="0"/>
            <a:ext cx="0" cy="0"/>
          </xdr:xfrm>
          <a:graphic>
            <a:graphicData uri="http://schemas.microsoft.com/office/drawing/2010/slicer">
              <sle:slicer xmlns:sle="http://schemas.microsoft.com/office/drawing/2010/slicer" name="LoanType 3"/>
            </a:graphicData>
          </a:graphic>
        </xdr:graphicFrame>
      </mc:Choice>
      <mc:Fallback xmlns="">
        <xdr:sp macro="" textlink="">
          <xdr:nvSpPr>
            <xdr:cNvPr id="0" name=""/>
            <xdr:cNvSpPr>
              <a:spLocks noTextEdit="1"/>
            </xdr:cNvSpPr>
          </xdr:nvSpPr>
          <xdr:spPr>
            <a:xfrm>
              <a:off x="6416040" y="14782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342900</xdr:colOff>
      <xdr:row>10</xdr:row>
      <xdr:rowOff>129540</xdr:rowOff>
    </xdr:from>
    <xdr:to>
      <xdr:col>12</xdr:col>
      <xdr:colOff>342900</xdr:colOff>
      <xdr:row>24</xdr:row>
      <xdr:rowOff>36195</xdr:rowOff>
    </xdr:to>
    <mc:AlternateContent xmlns:mc="http://schemas.openxmlformats.org/markup-compatibility/2006" xmlns:a14="http://schemas.microsoft.com/office/drawing/2010/main">
      <mc:Choice Requires="a14">
        <xdr:graphicFrame macro="">
          <xdr:nvGraphicFramePr>
            <xdr:cNvPr id="7" name="PreferredChannel 3">
              <a:extLst>
                <a:ext uri="{FF2B5EF4-FFF2-40B4-BE49-F238E27FC236}">
                  <a16:creationId xmlns:a16="http://schemas.microsoft.com/office/drawing/2014/main" id="{61BC4183-4C55-5707-02F6-A8CA48014D3E}"/>
                </a:ext>
              </a:extLst>
            </xdr:cNvPr>
            <xdr:cNvGraphicFramePr/>
          </xdr:nvGraphicFramePr>
          <xdr:xfrm>
            <a:off x="0" y="0"/>
            <a:ext cx="0" cy="0"/>
          </xdr:xfrm>
          <a:graphic>
            <a:graphicData uri="http://schemas.microsoft.com/office/drawing/2010/slicer">
              <sle:slicer xmlns:sle="http://schemas.microsoft.com/office/drawing/2010/slicer" name="PreferredChannel 3"/>
            </a:graphicData>
          </a:graphic>
        </xdr:graphicFrame>
      </mc:Choice>
      <mc:Fallback xmlns="">
        <xdr:sp macro="" textlink="">
          <xdr:nvSpPr>
            <xdr:cNvPr id="0" name=""/>
            <xdr:cNvSpPr>
              <a:spLocks noTextEdit="1"/>
            </xdr:cNvSpPr>
          </xdr:nvSpPr>
          <xdr:spPr>
            <a:xfrm>
              <a:off x="6896100" y="19583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213360</xdr:colOff>
      <xdr:row>13</xdr:row>
      <xdr:rowOff>60960</xdr:rowOff>
    </xdr:from>
    <xdr:to>
      <xdr:col>13</xdr:col>
      <xdr:colOff>213360</xdr:colOff>
      <xdr:row>26</xdr:row>
      <xdr:rowOff>150495</xdr:rowOff>
    </xdr:to>
    <mc:AlternateContent xmlns:mc="http://schemas.openxmlformats.org/markup-compatibility/2006" xmlns:a14="http://schemas.microsoft.com/office/drawing/2010/main">
      <mc:Choice Requires="a14">
        <xdr:graphicFrame macro="">
          <xdr:nvGraphicFramePr>
            <xdr:cNvPr id="8" name="Churned 3">
              <a:extLst>
                <a:ext uri="{FF2B5EF4-FFF2-40B4-BE49-F238E27FC236}">
                  <a16:creationId xmlns:a16="http://schemas.microsoft.com/office/drawing/2014/main" id="{DDA2D966-9C27-1081-9095-0D5A38DDED21}"/>
                </a:ext>
              </a:extLst>
            </xdr:cNvPr>
            <xdr:cNvGraphicFramePr/>
          </xdr:nvGraphicFramePr>
          <xdr:xfrm>
            <a:off x="0" y="0"/>
            <a:ext cx="0" cy="0"/>
          </xdr:xfrm>
          <a:graphic>
            <a:graphicData uri="http://schemas.microsoft.com/office/drawing/2010/slicer">
              <sle:slicer xmlns:sle="http://schemas.microsoft.com/office/drawing/2010/slicer" name="Churned 3"/>
            </a:graphicData>
          </a:graphic>
        </xdr:graphicFrame>
      </mc:Choice>
      <mc:Fallback xmlns="">
        <xdr:sp macro="" textlink="">
          <xdr:nvSpPr>
            <xdr:cNvPr id="0" name=""/>
            <xdr:cNvSpPr>
              <a:spLocks noTextEdit="1"/>
            </xdr:cNvSpPr>
          </xdr:nvSpPr>
          <xdr:spPr>
            <a:xfrm>
              <a:off x="7376160" y="24384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91440</xdr:colOff>
      <xdr:row>11</xdr:row>
      <xdr:rowOff>41910</xdr:rowOff>
    </xdr:from>
    <xdr:to>
      <xdr:col>6</xdr:col>
      <xdr:colOff>68580</xdr:colOff>
      <xdr:row>26</xdr:row>
      <xdr:rowOff>41910</xdr:rowOff>
    </xdr:to>
    <xdr:graphicFrame macro="">
      <xdr:nvGraphicFramePr>
        <xdr:cNvPr id="2" name="Chart 1">
          <a:extLst>
            <a:ext uri="{FF2B5EF4-FFF2-40B4-BE49-F238E27FC236}">
              <a16:creationId xmlns:a16="http://schemas.microsoft.com/office/drawing/2014/main" id="{A598F3F1-A9F4-6620-24AF-2FB1837B0C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594360</xdr:colOff>
      <xdr:row>0</xdr:row>
      <xdr:rowOff>152400</xdr:rowOff>
    </xdr:from>
    <xdr:to>
      <xdr:col>9</xdr:col>
      <xdr:colOff>594360</xdr:colOff>
      <xdr:row>14</xdr:row>
      <xdr:rowOff>59055</xdr:rowOff>
    </xdr:to>
    <mc:AlternateContent xmlns:mc="http://schemas.openxmlformats.org/markup-compatibility/2006" xmlns:a14="http://schemas.microsoft.com/office/drawing/2010/main">
      <mc:Choice Requires="a14">
        <xdr:graphicFrame macro="">
          <xdr:nvGraphicFramePr>
            <xdr:cNvPr id="3" name="Region 4">
              <a:extLst>
                <a:ext uri="{FF2B5EF4-FFF2-40B4-BE49-F238E27FC236}">
                  <a16:creationId xmlns:a16="http://schemas.microsoft.com/office/drawing/2014/main" id="{5D86FA9C-5EA0-A201-0C1C-93EBCFA46FB1}"/>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5189220" y="1524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464820</xdr:colOff>
      <xdr:row>3</xdr:row>
      <xdr:rowOff>83820</xdr:rowOff>
    </xdr:from>
    <xdr:to>
      <xdr:col>10</xdr:col>
      <xdr:colOff>464820</xdr:colOff>
      <xdr:row>16</xdr:row>
      <xdr:rowOff>173355</xdr:rowOff>
    </xdr:to>
    <mc:AlternateContent xmlns:mc="http://schemas.openxmlformats.org/markup-compatibility/2006" xmlns:a14="http://schemas.microsoft.com/office/drawing/2010/main">
      <mc:Choice Requires="a14">
        <xdr:graphicFrame macro="">
          <xdr:nvGraphicFramePr>
            <xdr:cNvPr id="4" name="AccountType 4">
              <a:extLst>
                <a:ext uri="{FF2B5EF4-FFF2-40B4-BE49-F238E27FC236}">
                  <a16:creationId xmlns:a16="http://schemas.microsoft.com/office/drawing/2014/main" id="{F659E736-10D2-DAA0-E76F-C48F1A181DFA}"/>
                </a:ext>
              </a:extLst>
            </xdr:cNvPr>
            <xdr:cNvGraphicFramePr/>
          </xdr:nvGraphicFramePr>
          <xdr:xfrm>
            <a:off x="0" y="0"/>
            <a:ext cx="0" cy="0"/>
          </xdr:xfrm>
          <a:graphic>
            <a:graphicData uri="http://schemas.microsoft.com/office/drawing/2010/slicer">
              <sle:slicer xmlns:sle="http://schemas.microsoft.com/office/drawing/2010/slicer" name="AccountType 4"/>
            </a:graphicData>
          </a:graphic>
        </xdr:graphicFrame>
      </mc:Choice>
      <mc:Fallback xmlns="">
        <xdr:sp macro="" textlink="">
          <xdr:nvSpPr>
            <xdr:cNvPr id="0" name=""/>
            <xdr:cNvSpPr>
              <a:spLocks noTextEdit="1"/>
            </xdr:cNvSpPr>
          </xdr:nvSpPr>
          <xdr:spPr>
            <a:xfrm>
              <a:off x="5669280" y="6324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335280</xdr:colOff>
      <xdr:row>6</xdr:row>
      <xdr:rowOff>15240</xdr:rowOff>
    </xdr:from>
    <xdr:to>
      <xdr:col>11</xdr:col>
      <xdr:colOff>335280</xdr:colOff>
      <xdr:row>19</xdr:row>
      <xdr:rowOff>104775</xdr:rowOff>
    </xdr:to>
    <mc:AlternateContent xmlns:mc="http://schemas.openxmlformats.org/markup-compatibility/2006" xmlns:a14="http://schemas.microsoft.com/office/drawing/2010/main">
      <mc:Choice Requires="a14">
        <xdr:graphicFrame macro="">
          <xdr:nvGraphicFramePr>
            <xdr:cNvPr id="5" name="CreditBand 4">
              <a:extLst>
                <a:ext uri="{FF2B5EF4-FFF2-40B4-BE49-F238E27FC236}">
                  <a16:creationId xmlns:a16="http://schemas.microsoft.com/office/drawing/2014/main" id="{7CC7E5F3-F0ED-4A99-8258-C6060B47CB9A}"/>
                </a:ext>
              </a:extLst>
            </xdr:cNvPr>
            <xdr:cNvGraphicFramePr/>
          </xdr:nvGraphicFramePr>
          <xdr:xfrm>
            <a:off x="0" y="0"/>
            <a:ext cx="0" cy="0"/>
          </xdr:xfrm>
          <a:graphic>
            <a:graphicData uri="http://schemas.microsoft.com/office/drawing/2010/slicer">
              <sle:slicer xmlns:sle="http://schemas.microsoft.com/office/drawing/2010/slicer" name="CreditBand 4"/>
            </a:graphicData>
          </a:graphic>
        </xdr:graphicFrame>
      </mc:Choice>
      <mc:Fallback xmlns="">
        <xdr:sp macro="" textlink="">
          <xdr:nvSpPr>
            <xdr:cNvPr id="0" name=""/>
            <xdr:cNvSpPr>
              <a:spLocks noTextEdit="1"/>
            </xdr:cNvSpPr>
          </xdr:nvSpPr>
          <xdr:spPr>
            <a:xfrm>
              <a:off x="6149340" y="11125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205740</xdr:colOff>
      <xdr:row>8</xdr:row>
      <xdr:rowOff>129540</xdr:rowOff>
    </xdr:from>
    <xdr:to>
      <xdr:col>12</xdr:col>
      <xdr:colOff>205740</xdr:colOff>
      <xdr:row>22</xdr:row>
      <xdr:rowOff>36195</xdr:rowOff>
    </xdr:to>
    <mc:AlternateContent xmlns:mc="http://schemas.openxmlformats.org/markup-compatibility/2006" xmlns:a14="http://schemas.microsoft.com/office/drawing/2010/main">
      <mc:Choice Requires="a14">
        <xdr:graphicFrame macro="">
          <xdr:nvGraphicFramePr>
            <xdr:cNvPr id="6" name="LoanType 4">
              <a:extLst>
                <a:ext uri="{FF2B5EF4-FFF2-40B4-BE49-F238E27FC236}">
                  <a16:creationId xmlns:a16="http://schemas.microsoft.com/office/drawing/2014/main" id="{4AF25F5F-EA8F-7801-A258-000DBDCAE8DD}"/>
                </a:ext>
              </a:extLst>
            </xdr:cNvPr>
            <xdr:cNvGraphicFramePr/>
          </xdr:nvGraphicFramePr>
          <xdr:xfrm>
            <a:off x="0" y="0"/>
            <a:ext cx="0" cy="0"/>
          </xdr:xfrm>
          <a:graphic>
            <a:graphicData uri="http://schemas.microsoft.com/office/drawing/2010/slicer">
              <sle:slicer xmlns:sle="http://schemas.microsoft.com/office/drawing/2010/slicer" name="LoanType 4"/>
            </a:graphicData>
          </a:graphic>
        </xdr:graphicFrame>
      </mc:Choice>
      <mc:Fallback xmlns="">
        <xdr:sp macro="" textlink="">
          <xdr:nvSpPr>
            <xdr:cNvPr id="0" name=""/>
            <xdr:cNvSpPr>
              <a:spLocks noTextEdit="1"/>
            </xdr:cNvSpPr>
          </xdr:nvSpPr>
          <xdr:spPr>
            <a:xfrm>
              <a:off x="6629400" y="1592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76200</xdr:colOff>
      <xdr:row>11</xdr:row>
      <xdr:rowOff>60960</xdr:rowOff>
    </xdr:from>
    <xdr:to>
      <xdr:col>13</xdr:col>
      <xdr:colOff>76200</xdr:colOff>
      <xdr:row>24</xdr:row>
      <xdr:rowOff>150495</xdr:rowOff>
    </xdr:to>
    <mc:AlternateContent xmlns:mc="http://schemas.openxmlformats.org/markup-compatibility/2006" xmlns:a14="http://schemas.microsoft.com/office/drawing/2010/main">
      <mc:Choice Requires="a14">
        <xdr:graphicFrame macro="">
          <xdr:nvGraphicFramePr>
            <xdr:cNvPr id="7" name="PreferredChannel 4">
              <a:extLst>
                <a:ext uri="{FF2B5EF4-FFF2-40B4-BE49-F238E27FC236}">
                  <a16:creationId xmlns:a16="http://schemas.microsoft.com/office/drawing/2014/main" id="{C28EDDF5-83F8-7997-0C21-809575829C96}"/>
                </a:ext>
              </a:extLst>
            </xdr:cNvPr>
            <xdr:cNvGraphicFramePr/>
          </xdr:nvGraphicFramePr>
          <xdr:xfrm>
            <a:off x="0" y="0"/>
            <a:ext cx="0" cy="0"/>
          </xdr:xfrm>
          <a:graphic>
            <a:graphicData uri="http://schemas.microsoft.com/office/drawing/2010/slicer">
              <sle:slicer xmlns:sle="http://schemas.microsoft.com/office/drawing/2010/slicer" name="PreferredChannel 4"/>
            </a:graphicData>
          </a:graphic>
        </xdr:graphicFrame>
      </mc:Choice>
      <mc:Fallback xmlns="">
        <xdr:sp macro="" textlink="">
          <xdr:nvSpPr>
            <xdr:cNvPr id="0" name=""/>
            <xdr:cNvSpPr>
              <a:spLocks noTextEdit="1"/>
            </xdr:cNvSpPr>
          </xdr:nvSpPr>
          <xdr:spPr>
            <a:xfrm>
              <a:off x="7109460" y="20726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556260</xdr:colOff>
      <xdr:row>13</xdr:row>
      <xdr:rowOff>175260</xdr:rowOff>
    </xdr:from>
    <xdr:to>
      <xdr:col>13</xdr:col>
      <xdr:colOff>556260</xdr:colOff>
      <xdr:row>27</xdr:row>
      <xdr:rowOff>81915</xdr:rowOff>
    </xdr:to>
    <mc:AlternateContent xmlns:mc="http://schemas.openxmlformats.org/markup-compatibility/2006" xmlns:a14="http://schemas.microsoft.com/office/drawing/2010/main">
      <mc:Choice Requires="a14">
        <xdr:graphicFrame macro="">
          <xdr:nvGraphicFramePr>
            <xdr:cNvPr id="8" name="Churned 4">
              <a:extLst>
                <a:ext uri="{FF2B5EF4-FFF2-40B4-BE49-F238E27FC236}">
                  <a16:creationId xmlns:a16="http://schemas.microsoft.com/office/drawing/2014/main" id="{385C6A95-E6B2-149B-5E48-E4F37F890234}"/>
                </a:ext>
              </a:extLst>
            </xdr:cNvPr>
            <xdr:cNvGraphicFramePr/>
          </xdr:nvGraphicFramePr>
          <xdr:xfrm>
            <a:off x="0" y="0"/>
            <a:ext cx="0" cy="0"/>
          </xdr:xfrm>
          <a:graphic>
            <a:graphicData uri="http://schemas.microsoft.com/office/drawing/2010/slicer">
              <sle:slicer xmlns:sle="http://schemas.microsoft.com/office/drawing/2010/slicer" name="Churned 4"/>
            </a:graphicData>
          </a:graphic>
        </xdr:graphicFrame>
      </mc:Choice>
      <mc:Fallback xmlns="">
        <xdr:sp macro="" textlink="">
          <xdr:nvSpPr>
            <xdr:cNvPr id="0" name=""/>
            <xdr:cNvSpPr>
              <a:spLocks noTextEdit="1"/>
            </xdr:cNvSpPr>
          </xdr:nvSpPr>
          <xdr:spPr>
            <a:xfrm>
              <a:off x="7589520" y="25527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228600</xdr:colOff>
      <xdr:row>11</xdr:row>
      <xdr:rowOff>156210</xdr:rowOff>
    </xdr:from>
    <xdr:to>
      <xdr:col>6</xdr:col>
      <xdr:colOff>205740</xdr:colOff>
      <xdr:row>26</xdr:row>
      <xdr:rowOff>156210</xdr:rowOff>
    </xdr:to>
    <xdr:graphicFrame macro="">
      <xdr:nvGraphicFramePr>
        <xdr:cNvPr id="2" name="Chart 1">
          <a:extLst>
            <a:ext uri="{FF2B5EF4-FFF2-40B4-BE49-F238E27FC236}">
              <a16:creationId xmlns:a16="http://schemas.microsoft.com/office/drawing/2014/main" id="{7AF2BD1D-71F2-7F2F-05BC-1C73012D33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472440</xdr:colOff>
      <xdr:row>0</xdr:row>
      <xdr:rowOff>91440</xdr:rowOff>
    </xdr:from>
    <xdr:to>
      <xdr:col>9</xdr:col>
      <xdr:colOff>472440</xdr:colOff>
      <xdr:row>13</xdr:row>
      <xdr:rowOff>180975</xdr:rowOff>
    </xdr:to>
    <mc:AlternateContent xmlns:mc="http://schemas.openxmlformats.org/markup-compatibility/2006" xmlns:a14="http://schemas.microsoft.com/office/drawing/2010/main">
      <mc:Choice Requires="a14">
        <xdr:graphicFrame macro="">
          <xdr:nvGraphicFramePr>
            <xdr:cNvPr id="3" name="Region 5">
              <a:extLst>
                <a:ext uri="{FF2B5EF4-FFF2-40B4-BE49-F238E27FC236}">
                  <a16:creationId xmlns:a16="http://schemas.microsoft.com/office/drawing/2014/main" id="{E6A20D0F-E2E1-49C4-2263-6B6260E39265}"/>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5067300" y="914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342900</xdr:colOff>
      <xdr:row>3</xdr:row>
      <xdr:rowOff>22860</xdr:rowOff>
    </xdr:from>
    <xdr:to>
      <xdr:col>10</xdr:col>
      <xdr:colOff>342900</xdr:colOff>
      <xdr:row>16</xdr:row>
      <xdr:rowOff>112395</xdr:rowOff>
    </xdr:to>
    <mc:AlternateContent xmlns:mc="http://schemas.openxmlformats.org/markup-compatibility/2006" xmlns:a14="http://schemas.microsoft.com/office/drawing/2010/main">
      <mc:Choice Requires="a14">
        <xdr:graphicFrame macro="">
          <xdr:nvGraphicFramePr>
            <xdr:cNvPr id="4" name="AccountType 5">
              <a:extLst>
                <a:ext uri="{FF2B5EF4-FFF2-40B4-BE49-F238E27FC236}">
                  <a16:creationId xmlns:a16="http://schemas.microsoft.com/office/drawing/2014/main" id="{2B666BE1-BC86-3B57-5CE2-AF8F42C3CB2E}"/>
                </a:ext>
              </a:extLst>
            </xdr:cNvPr>
            <xdr:cNvGraphicFramePr/>
          </xdr:nvGraphicFramePr>
          <xdr:xfrm>
            <a:off x="0" y="0"/>
            <a:ext cx="0" cy="0"/>
          </xdr:xfrm>
          <a:graphic>
            <a:graphicData uri="http://schemas.microsoft.com/office/drawing/2010/slicer">
              <sle:slicer xmlns:sle="http://schemas.microsoft.com/office/drawing/2010/slicer" name="AccountType 5"/>
            </a:graphicData>
          </a:graphic>
        </xdr:graphicFrame>
      </mc:Choice>
      <mc:Fallback xmlns="">
        <xdr:sp macro="" textlink="">
          <xdr:nvSpPr>
            <xdr:cNvPr id="0" name=""/>
            <xdr:cNvSpPr>
              <a:spLocks noTextEdit="1"/>
            </xdr:cNvSpPr>
          </xdr:nvSpPr>
          <xdr:spPr>
            <a:xfrm>
              <a:off x="5547360" y="5715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213360</xdr:colOff>
      <xdr:row>5</xdr:row>
      <xdr:rowOff>137160</xdr:rowOff>
    </xdr:from>
    <xdr:to>
      <xdr:col>11</xdr:col>
      <xdr:colOff>213360</xdr:colOff>
      <xdr:row>19</xdr:row>
      <xdr:rowOff>43815</xdr:rowOff>
    </xdr:to>
    <mc:AlternateContent xmlns:mc="http://schemas.openxmlformats.org/markup-compatibility/2006" xmlns:a14="http://schemas.microsoft.com/office/drawing/2010/main">
      <mc:Choice Requires="a14">
        <xdr:graphicFrame macro="">
          <xdr:nvGraphicFramePr>
            <xdr:cNvPr id="5" name="CreditBand 5">
              <a:extLst>
                <a:ext uri="{FF2B5EF4-FFF2-40B4-BE49-F238E27FC236}">
                  <a16:creationId xmlns:a16="http://schemas.microsoft.com/office/drawing/2014/main" id="{E08BBF2C-F25F-A900-F1B8-7DD2DD69CB8B}"/>
                </a:ext>
              </a:extLst>
            </xdr:cNvPr>
            <xdr:cNvGraphicFramePr/>
          </xdr:nvGraphicFramePr>
          <xdr:xfrm>
            <a:off x="0" y="0"/>
            <a:ext cx="0" cy="0"/>
          </xdr:xfrm>
          <a:graphic>
            <a:graphicData uri="http://schemas.microsoft.com/office/drawing/2010/slicer">
              <sle:slicer xmlns:sle="http://schemas.microsoft.com/office/drawing/2010/slicer" name="CreditBand 5"/>
            </a:graphicData>
          </a:graphic>
        </xdr:graphicFrame>
      </mc:Choice>
      <mc:Fallback xmlns="">
        <xdr:sp macro="" textlink="">
          <xdr:nvSpPr>
            <xdr:cNvPr id="0" name=""/>
            <xdr:cNvSpPr>
              <a:spLocks noTextEdit="1"/>
            </xdr:cNvSpPr>
          </xdr:nvSpPr>
          <xdr:spPr>
            <a:xfrm>
              <a:off x="6027420" y="1051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83820</xdr:colOff>
      <xdr:row>8</xdr:row>
      <xdr:rowOff>68580</xdr:rowOff>
    </xdr:from>
    <xdr:to>
      <xdr:col>12</xdr:col>
      <xdr:colOff>83820</xdr:colOff>
      <xdr:row>21</xdr:row>
      <xdr:rowOff>158115</xdr:rowOff>
    </xdr:to>
    <mc:AlternateContent xmlns:mc="http://schemas.openxmlformats.org/markup-compatibility/2006" xmlns:a14="http://schemas.microsoft.com/office/drawing/2010/main">
      <mc:Choice Requires="a14">
        <xdr:graphicFrame macro="">
          <xdr:nvGraphicFramePr>
            <xdr:cNvPr id="6" name="LoanType 5">
              <a:extLst>
                <a:ext uri="{FF2B5EF4-FFF2-40B4-BE49-F238E27FC236}">
                  <a16:creationId xmlns:a16="http://schemas.microsoft.com/office/drawing/2014/main" id="{6496F469-912A-4657-C002-3A2D1EE8E44C}"/>
                </a:ext>
              </a:extLst>
            </xdr:cNvPr>
            <xdr:cNvGraphicFramePr/>
          </xdr:nvGraphicFramePr>
          <xdr:xfrm>
            <a:off x="0" y="0"/>
            <a:ext cx="0" cy="0"/>
          </xdr:xfrm>
          <a:graphic>
            <a:graphicData uri="http://schemas.microsoft.com/office/drawing/2010/slicer">
              <sle:slicer xmlns:sle="http://schemas.microsoft.com/office/drawing/2010/slicer" name="LoanType 5"/>
            </a:graphicData>
          </a:graphic>
        </xdr:graphicFrame>
      </mc:Choice>
      <mc:Fallback xmlns="">
        <xdr:sp macro="" textlink="">
          <xdr:nvSpPr>
            <xdr:cNvPr id="0" name=""/>
            <xdr:cNvSpPr>
              <a:spLocks noTextEdit="1"/>
            </xdr:cNvSpPr>
          </xdr:nvSpPr>
          <xdr:spPr>
            <a:xfrm>
              <a:off x="6507480" y="1531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563880</xdr:colOff>
      <xdr:row>11</xdr:row>
      <xdr:rowOff>0</xdr:rowOff>
    </xdr:from>
    <xdr:to>
      <xdr:col>12</xdr:col>
      <xdr:colOff>563880</xdr:colOff>
      <xdr:row>24</xdr:row>
      <xdr:rowOff>89535</xdr:rowOff>
    </xdr:to>
    <mc:AlternateContent xmlns:mc="http://schemas.openxmlformats.org/markup-compatibility/2006" xmlns:a14="http://schemas.microsoft.com/office/drawing/2010/main">
      <mc:Choice Requires="a14">
        <xdr:graphicFrame macro="">
          <xdr:nvGraphicFramePr>
            <xdr:cNvPr id="7" name="PreferredChannel 5">
              <a:extLst>
                <a:ext uri="{FF2B5EF4-FFF2-40B4-BE49-F238E27FC236}">
                  <a16:creationId xmlns:a16="http://schemas.microsoft.com/office/drawing/2014/main" id="{439E05DB-2C90-B814-8B11-14336DA257FA}"/>
                </a:ext>
              </a:extLst>
            </xdr:cNvPr>
            <xdr:cNvGraphicFramePr/>
          </xdr:nvGraphicFramePr>
          <xdr:xfrm>
            <a:off x="0" y="0"/>
            <a:ext cx="0" cy="0"/>
          </xdr:xfrm>
          <a:graphic>
            <a:graphicData uri="http://schemas.microsoft.com/office/drawing/2010/slicer">
              <sle:slicer xmlns:sle="http://schemas.microsoft.com/office/drawing/2010/slicer" name="PreferredChannel 5"/>
            </a:graphicData>
          </a:graphic>
        </xdr:graphicFrame>
      </mc:Choice>
      <mc:Fallback xmlns="">
        <xdr:sp macro="" textlink="">
          <xdr:nvSpPr>
            <xdr:cNvPr id="0" name=""/>
            <xdr:cNvSpPr>
              <a:spLocks noTextEdit="1"/>
            </xdr:cNvSpPr>
          </xdr:nvSpPr>
          <xdr:spPr>
            <a:xfrm>
              <a:off x="6987540" y="20116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434340</xdr:colOff>
      <xdr:row>13</xdr:row>
      <xdr:rowOff>114300</xdr:rowOff>
    </xdr:from>
    <xdr:to>
      <xdr:col>13</xdr:col>
      <xdr:colOff>434340</xdr:colOff>
      <xdr:row>27</xdr:row>
      <xdr:rowOff>20955</xdr:rowOff>
    </xdr:to>
    <mc:AlternateContent xmlns:mc="http://schemas.openxmlformats.org/markup-compatibility/2006" xmlns:a14="http://schemas.microsoft.com/office/drawing/2010/main">
      <mc:Choice Requires="a14">
        <xdr:graphicFrame macro="">
          <xdr:nvGraphicFramePr>
            <xdr:cNvPr id="8" name="Churned 5">
              <a:extLst>
                <a:ext uri="{FF2B5EF4-FFF2-40B4-BE49-F238E27FC236}">
                  <a16:creationId xmlns:a16="http://schemas.microsoft.com/office/drawing/2014/main" id="{BC9CBEA8-417D-E62A-6A9E-0F0926756C09}"/>
                </a:ext>
              </a:extLst>
            </xdr:cNvPr>
            <xdr:cNvGraphicFramePr/>
          </xdr:nvGraphicFramePr>
          <xdr:xfrm>
            <a:off x="0" y="0"/>
            <a:ext cx="0" cy="0"/>
          </xdr:xfrm>
          <a:graphic>
            <a:graphicData uri="http://schemas.microsoft.com/office/drawing/2010/slicer">
              <sle:slicer xmlns:sle="http://schemas.microsoft.com/office/drawing/2010/slicer" name="Churned 5"/>
            </a:graphicData>
          </a:graphic>
        </xdr:graphicFrame>
      </mc:Choice>
      <mc:Fallback xmlns="">
        <xdr:sp macro="" textlink="">
          <xdr:nvSpPr>
            <xdr:cNvPr id="0" name=""/>
            <xdr:cNvSpPr>
              <a:spLocks noTextEdit="1"/>
            </xdr:cNvSpPr>
          </xdr:nvSpPr>
          <xdr:spPr>
            <a:xfrm>
              <a:off x="7467600" y="24917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Banking_Customer_Dataset%201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08.673822800927" createdVersion="8" refreshedVersion="8" minRefreshableVersion="3" recordCount="800" xr:uid="{68F3E278-E1BC-4931-A881-9D6536F250D0}">
  <cacheSource type="worksheet">
    <worksheetSource ref="A1:AB801" sheet="BankingData" r:id="rId2"/>
  </cacheSource>
  <cacheFields count="28">
    <cacheField name="CustomerID" numFmtId="0">
      <sharedItems count="800">
        <s v="CUST100001"/>
        <s v="CUST100002"/>
        <s v="CUST100003"/>
        <s v="CUST100004"/>
        <s v="CUST100005"/>
        <s v="CUST100006"/>
        <s v="CUST100007"/>
        <s v="CUST100008"/>
        <s v="CUST100009"/>
        <s v="CUST100010"/>
        <s v="CUST100011"/>
        <s v="CUST100012"/>
        <s v="CUST100013"/>
        <s v="CUST100014"/>
        <s v="CUST100015"/>
        <s v="CUST100016"/>
        <s v="CUST100017"/>
        <s v="CUST100018"/>
        <s v="CUST100019"/>
        <s v="CUST100020"/>
        <s v="CUST100021"/>
        <s v="CUST100022"/>
        <s v="CUST100023"/>
        <s v="CUST100024"/>
        <s v="CUST100025"/>
        <s v="CUST100026"/>
        <s v="CUST100027"/>
        <s v="CUST100028"/>
        <s v="CUST100029"/>
        <s v="CUST100030"/>
        <s v="CUST100031"/>
        <s v="CUST100032"/>
        <s v="CUST100033"/>
        <s v="CUST100034"/>
        <s v="CUST100035"/>
        <s v="CUST100036"/>
        <s v="CUST100037"/>
        <s v="CUST100038"/>
        <s v="CUST100039"/>
        <s v="CUST100040"/>
        <s v="CUST100041"/>
        <s v="CUST100042"/>
        <s v="CUST100043"/>
        <s v="CUST100044"/>
        <s v="CUST100045"/>
        <s v="CUST100046"/>
        <s v="CUST100047"/>
        <s v="CUST100048"/>
        <s v="CUST100049"/>
        <s v="CUST100050"/>
        <s v="CUST100051"/>
        <s v="CUST100052"/>
        <s v="CUST100053"/>
        <s v="CUST100054"/>
        <s v="CUST100055"/>
        <s v="CUST100056"/>
        <s v="CUST100057"/>
        <s v="CUST100058"/>
        <s v="CUST100059"/>
        <s v="CUST100060"/>
        <s v="CUST100061"/>
        <s v="CUST100062"/>
        <s v="CUST100063"/>
        <s v="CUST100064"/>
        <s v="CUST100065"/>
        <s v="CUST100066"/>
        <s v="CUST100067"/>
        <s v="CUST100068"/>
        <s v="CUST100069"/>
        <s v="CUST100070"/>
        <s v="CUST100071"/>
        <s v="CUST100072"/>
        <s v="CUST100073"/>
        <s v="CUST100074"/>
        <s v="CUST100075"/>
        <s v="CUST100076"/>
        <s v="CUST100077"/>
        <s v="CUST100078"/>
        <s v="CUST100079"/>
        <s v="CUST100080"/>
        <s v="CUST100081"/>
        <s v="CUST100082"/>
        <s v="CUST100083"/>
        <s v="CUST100084"/>
        <s v="CUST100085"/>
        <s v="CUST100086"/>
        <s v="CUST100087"/>
        <s v="CUST100088"/>
        <s v="CUST100089"/>
        <s v="CUST100090"/>
        <s v="CUST100091"/>
        <s v="CUST100092"/>
        <s v="CUST100093"/>
        <s v="CUST100094"/>
        <s v="CUST100095"/>
        <s v="CUST100096"/>
        <s v="CUST100097"/>
        <s v="CUST100098"/>
        <s v="CUST100099"/>
        <s v="CUST100100"/>
        <s v="CUST100101"/>
        <s v="CUST100102"/>
        <s v="CUST100103"/>
        <s v="CUST100104"/>
        <s v="CUST100105"/>
        <s v="CUST100106"/>
        <s v="CUST100107"/>
        <s v="CUST100108"/>
        <s v="CUST100109"/>
        <s v="CUST100110"/>
        <s v="CUST100111"/>
        <s v="CUST100112"/>
        <s v="CUST100113"/>
        <s v="CUST100114"/>
        <s v="CUST100115"/>
        <s v="CUST100116"/>
        <s v="CUST100117"/>
        <s v="CUST100118"/>
        <s v="CUST100119"/>
        <s v="CUST100120"/>
        <s v="CUST100121"/>
        <s v="CUST100122"/>
        <s v="CUST100123"/>
        <s v="CUST100124"/>
        <s v="CUST100125"/>
        <s v="CUST100126"/>
        <s v="CUST100127"/>
        <s v="CUST100128"/>
        <s v="CUST100129"/>
        <s v="CUST100130"/>
        <s v="CUST100131"/>
        <s v="CUST100132"/>
        <s v="CUST100133"/>
        <s v="CUST100134"/>
        <s v="CUST100135"/>
        <s v="CUST100136"/>
        <s v="CUST100137"/>
        <s v="CUST100138"/>
        <s v="CUST100139"/>
        <s v="CUST100140"/>
        <s v="CUST100141"/>
        <s v="CUST100142"/>
        <s v="CUST100143"/>
        <s v="CUST100144"/>
        <s v="CUST100145"/>
        <s v="CUST100146"/>
        <s v="CUST100147"/>
        <s v="CUST100148"/>
        <s v="CUST100149"/>
        <s v="CUST100150"/>
        <s v="CUST100151"/>
        <s v="CUST100152"/>
        <s v="CUST100153"/>
        <s v="CUST100154"/>
        <s v="CUST100155"/>
        <s v="CUST100156"/>
        <s v="CUST100157"/>
        <s v="CUST100158"/>
        <s v="CUST100159"/>
        <s v="CUST100160"/>
        <s v="CUST100161"/>
        <s v="CUST100162"/>
        <s v="CUST100163"/>
        <s v="CUST100164"/>
        <s v="CUST100165"/>
        <s v="CUST100166"/>
        <s v="CUST100167"/>
        <s v="CUST100168"/>
        <s v="CUST100169"/>
        <s v="CUST100170"/>
        <s v="CUST100171"/>
        <s v="CUST100172"/>
        <s v="CUST100173"/>
        <s v="CUST100174"/>
        <s v="CUST100175"/>
        <s v="CUST100176"/>
        <s v="CUST100177"/>
        <s v="CUST100178"/>
        <s v="CUST100179"/>
        <s v="CUST100180"/>
        <s v="CUST100181"/>
        <s v="CUST100182"/>
        <s v="CUST100183"/>
        <s v="CUST100184"/>
        <s v="CUST100185"/>
        <s v="CUST100186"/>
        <s v="CUST100187"/>
        <s v="CUST100188"/>
        <s v="CUST100189"/>
        <s v="CUST100190"/>
        <s v="CUST100191"/>
        <s v="CUST100192"/>
        <s v="CUST100193"/>
        <s v="CUST100194"/>
        <s v="CUST100195"/>
        <s v="CUST100196"/>
        <s v="CUST100197"/>
        <s v="CUST100198"/>
        <s v="CUST100199"/>
        <s v="CUST100200"/>
        <s v="CUST100201"/>
        <s v="CUST100202"/>
        <s v="CUST100203"/>
        <s v="CUST100204"/>
        <s v="CUST100205"/>
        <s v="CUST100206"/>
        <s v="CUST100207"/>
        <s v="CUST100208"/>
        <s v="CUST100209"/>
        <s v="CUST100210"/>
        <s v="CUST100211"/>
        <s v="CUST100212"/>
        <s v="CUST100213"/>
        <s v="CUST100214"/>
        <s v="CUST100215"/>
        <s v="CUST100216"/>
        <s v="CUST100217"/>
        <s v="CUST100218"/>
        <s v="CUST100219"/>
        <s v="CUST100220"/>
        <s v="CUST100221"/>
        <s v="CUST100222"/>
        <s v="CUST100223"/>
        <s v="CUST100224"/>
        <s v="CUST100225"/>
        <s v="CUST100226"/>
        <s v="CUST100227"/>
        <s v="CUST100228"/>
        <s v="CUST100229"/>
        <s v="CUST100230"/>
        <s v="CUST100231"/>
        <s v="CUST100232"/>
        <s v="CUST100233"/>
        <s v="CUST100234"/>
        <s v="CUST100235"/>
        <s v="CUST100236"/>
        <s v="CUST100237"/>
        <s v="CUST100238"/>
        <s v="CUST100239"/>
        <s v="CUST100240"/>
        <s v="CUST100241"/>
        <s v="CUST100242"/>
        <s v="CUST100243"/>
        <s v="CUST100244"/>
        <s v="CUST100245"/>
        <s v="CUST100246"/>
        <s v="CUST100247"/>
        <s v="CUST100248"/>
        <s v="CUST100249"/>
        <s v="CUST100250"/>
        <s v="CUST100251"/>
        <s v="CUST100252"/>
        <s v="CUST100253"/>
        <s v="CUST100254"/>
        <s v="CUST100255"/>
        <s v="CUST100256"/>
        <s v="CUST100257"/>
        <s v="CUST100258"/>
        <s v="CUST100259"/>
        <s v="CUST100260"/>
        <s v="CUST100261"/>
        <s v="CUST100262"/>
        <s v="CUST100263"/>
        <s v="CUST100264"/>
        <s v="CUST100265"/>
        <s v="CUST100266"/>
        <s v="CUST100267"/>
        <s v="CUST100268"/>
        <s v="CUST100269"/>
        <s v="CUST100270"/>
        <s v="CUST100271"/>
        <s v="CUST100272"/>
        <s v="CUST100273"/>
        <s v="CUST100274"/>
        <s v="CUST100275"/>
        <s v="CUST100276"/>
        <s v="CUST100277"/>
        <s v="CUST100278"/>
        <s v="CUST100279"/>
        <s v="CUST100280"/>
        <s v="CUST100281"/>
        <s v="CUST100282"/>
        <s v="CUST100283"/>
        <s v="CUST100284"/>
        <s v="CUST100285"/>
        <s v="CUST100286"/>
        <s v="CUST100287"/>
        <s v="CUST100288"/>
        <s v="CUST100289"/>
        <s v="CUST100290"/>
        <s v="CUST100291"/>
        <s v="CUST100292"/>
        <s v="CUST100293"/>
        <s v="CUST100294"/>
        <s v="CUST100295"/>
        <s v="CUST100296"/>
        <s v="CUST100297"/>
        <s v="CUST100298"/>
        <s v="CUST100299"/>
        <s v="CUST100300"/>
        <s v="CUST100301"/>
        <s v="CUST100302"/>
        <s v="CUST100303"/>
        <s v="CUST100304"/>
        <s v="CUST100305"/>
        <s v="CUST100306"/>
        <s v="CUST100307"/>
        <s v="CUST100308"/>
        <s v="CUST100309"/>
        <s v="CUST100310"/>
        <s v="CUST100311"/>
        <s v="CUST100312"/>
        <s v="CUST100313"/>
        <s v="CUST100314"/>
        <s v="CUST100315"/>
        <s v="CUST100316"/>
        <s v="CUST100317"/>
        <s v="CUST100318"/>
        <s v="CUST100319"/>
        <s v="CUST100320"/>
        <s v="CUST100321"/>
        <s v="CUST100322"/>
        <s v="CUST100323"/>
        <s v="CUST100324"/>
        <s v="CUST100325"/>
        <s v="CUST100326"/>
        <s v="CUST100327"/>
        <s v="CUST100328"/>
        <s v="CUST100329"/>
        <s v="CUST100330"/>
        <s v="CUST100331"/>
        <s v="CUST100332"/>
        <s v="CUST100333"/>
        <s v="CUST100334"/>
        <s v="CUST100335"/>
        <s v="CUST100336"/>
        <s v="CUST100337"/>
        <s v="CUST100338"/>
        <s v="CUST100339"/>
        <s v="CUST100340"/>
        <s v="CUST100341"/>
        <s v="CUST100342"/>
        <s v="CUST100343"/>
        <s v="CUST100344"/>
        <s v="CUST100345"/>
        <s v="CUST100346"/>
        <s v="CUST100347"/>
        <s v="CUST100348"/>
        <s v="CUST100349"/>
        <s v="CUST100350"/>
        <s v="CUST100351"/>
        <s v="CUST100352"/>
        <s v="CUST100353"/>
        <s v="CUST100354"/>
        <s v="CUST100355"/>
        <s v="CUST100356"/>
        <s v="CUST100357"/>
        <s v="CUST100358"/>
        <s v="CUST100359"/>
        <s v="CUST100360"/>
        <s v="CUST100361"/>
        <s v="CUST100362"/>
        <s v="CUST100363"/>
        <s v="CUST100364"/>
        <s v="CUST100365"/>
        <s v="CUST100366"/>
        <s v="CUST100367"/>
        <s v="CUST100368"/>
        <s v="CUST100369"/>
        <s v="CUST100370"/>
        <s v="CUST100371"/>
        <s v="CUST100372"/>
        <s v="CUST100373"/>
        <s v="CUST100374"/>
        <s v="CUST100375"/>
        <s v="CUST100376"/>
        <s v="CUST100377"/>
        <s v="CUST100378"/>
        <s v="CUST100379"/>
        <s v="CUST100380"/>
        <s v="CUST100381"/>
        <s v="CUST100382"/>
        <s v="CUST100383"/>
        <s v="CUST100384"/>
        <s v="CUST100385"/>
        <s v="CUST100386"/>
        <s v="CUST100387"/>
        <s v="CUST100388"/>
        <s v="CUST100389"/>
        <s v="CUST100390"/>
        <s v="CUST100391"/>
        <s v="CUST100392"/>
        <s v="CUST100393"/>
        <s v="CUST100394"/>
        <s v="CUST100395"/>
        <s v="CUST100396"/>
        <s v="CUST100397"/>
        <s v="CUST100398"/>
        <s v="CUST100399"/>
        <s v="CUST100400"/>
        <s v="CUST100401"/>
        <s v="CUST100402"/>
        <s v="CUST100403"/>
        <s v="CUST100404"/>
        <s v="CUST100405"/>
        <s v="CUST100406"/>
        <s v="CUST100407"/>
        <s v="CUST100408"/>
        <s v="CUST100409"/>
        <s v="CUST100410"/>
        <s v="CUST100411"/>
        <s v="CUST100412"/>
        <s v="CUST100413"/>
        <s v="CUST100414"/>
        <s v="CUST100415"/>
        <s v="CUST100416"/>
        <s v="CUST100417"/>
        <s v="CUST100418"/>
        <s v="CUST100419"/>
        <s v="CUST100420"/>
        <s v="CUST100421"/>
        <s v="CUST100422"/>
        <s v="CUST100423"/>
        <s v="CUST100424"/>
        <s v="CUST100425"/>
        <s v="CUST100426"/>
        <s v="CUST100427"/>
        <s v="CUST100428"/>
        <s v="CUST100429"/>
        <s v="CUST100430"/>
        <s v="CUST100431"/>
        <s v="CUST100432"/>
        <s v="CUST100433"/>
        <s v="CUST100434"/>
        <s v="CUST100435"/>
        <s v="CUST100436"/>
        <s v="CUST100437"/>
        <s v="CUST100438"/>
        <s v="CUST100439"/>
        <s v="CUST100440"/>
        <s v="CUST100441"/>
        <s v="CUST100442"/>
        <s v="CUST100443"/>
        <s v="CUST100444"/>
        <s v="CUST100445"/>
        <s v="CUST100446"/>
        <s v="CUST100447"/>
        <s v="CUST100448"/>
        <s v="CUST100449"/>
        <s v="CUST100450"/>
        <s v="CUST100451"/>
        <s v="CUST100452"/>
        <s v="CUST100453"/>
        <s v="CUST100454"/>
        <s v="CUST100455"/>
        <s v="CUST100456"/>
        <s v="CUST100457"/>
        <s v="CUST100458"/>
        <s v="CUST100459"/>
        <s v="CUST100460"/>
        <s v="CUST100461"/>
        <s v="CUST100462"/>
        <s v="CUST100463"/>
        <s v="CUST100464"/>
        <s v="CUST100465"/>
        <s v="CUST100466"/>
        <s v="CUST100467"/>
        <s v="CUST100468"/>
        <s v="CUST100469"/>
        <s v="CUST100470"/>
        <s v="CUST100471"/>
        <s v="CUST100472"/>
        <s v="CUST100473"/>
        <s v="CUST100474"/>
        <s v="CUST100475"/>
        <s v="CUST100476"/>
        <s v="CUST100477"/>
        <s v="CUST100478"/>
        <s v="CUST100479"/>
        <s v="CUST100480"/>
        <s v="CUST100481"/>
        <s v="CUST100482"/>
        <s v="CUST100483"/>
        <s v="CUST100484"/>
        <s v="CUST100485"/>
        <s v="CUST100486"/>
        <s v="CUST100487"/>
        <s v="CUST100488"/>
        <s v="CUST100489"/>
        <s v="CUST100490"/>
        <s v="CUST100491"/>
        <s v="CUST100492"/>
        <s v="CUST100493"/>
        <s v="CUST100494"/>
        <s v="CUST100495"/>
        <s v="CUST100496"/>
        <s v="CUST100497"/>
        <s v="CUST100498"/>
        <s v="CUST100499"/>
        <s v="CUST100500"/>
        <s v="CUST100501"/>
        <s v="CUST100502"/>
        <s v="CUST100503"/>
        <s v="CUST100504"/>
        <s v="CUST100505"/>
        <s v="CUST100506"/>
        <s v="CUST100507"/>
        <s v="CUST100508"/>
        <s v="CUST100509"/>
        <s v="CUST100510"/>
        <s v="CUST100511"/>
        <s v="CUST100512"/>
        <s v="CUST100513"/>
        <s v="CUST100514"/>
        <s v="CUST100515"/>
        <s v="CUST100516"/>
        <s v="CUST100517"/>
        <s v="CUST100518"/>
        <s v="CUST100519"/>
        <s v="CUST100520"/>
        <s v="CUST100521"/>
        <s v="CUST100522"/>
        <s v="CUST100523"/>
        <s v="CUST100524"/>
        <s v="CUST100525"/>
        <s v="CUST100526"/>
        <s v="CUST100527"/>
        <s v="CUST100528"/>
        <s v="CUST100529"/>
        <s v="CUST100530"/>
        <s v="CUST100531"/>
        <s v="CUST100532"/>
        <s v="CUST100533"/>
        <s v="CUST100534"/>
        <s v="CUST100535"/>
        <s v="CUST100536"/>
        <s v="CUST100537"/>
        <s v="CUST100538"/>
        <s v="CUST100539"/>
        <s v="CUST100540"/>
        <s v="CUST100541"/>
        <s v="CUST100542"/>
        <s v="CUST100543"/>
        <s v="CUST100544"/>
        <s v="CUST100545"/>
        <s v="CUST100546"/>
        <s v="CUST100547"/>
        <s v="CUST100548"/>
        <s v="CUST100549"/>
        <s v="CUST100550"/>
        <s v="CUST100551"/>
        <s v="CUST100552"/>
        <s v="CUST100553"/>
        <s v="CUST100554"/>
        <s v="CUST100555"/>
        <s v="CUST100556"/>
        <s v="CUST100557"/>
        <s v="CUST100558"/>
        <s v="CUST100559"/>
        <s v="CUST100560"/>
        <s v="CUST100561"/>
        <s v="CUST100562"/>
        <s v="CUST100563"/>
        <s v="CUST100564"/>
        <s v="CUST100565"/>
        <s v="CUST100566"/>
        <s v="CUST100567"/>
        <s v="CUST100568"/>
        <s v="CUST100569"/>
        <s v="CUST100570"/>
        <s v="CUST100571"/>
        <s v="CUST100572"/>
        <s v="CUST100573"/>
        <s v="CUST100574"/>
        <s v="CUST100575"/>
        <s v="CUST100576"/>
        <s v="CUST100577"/>
        <s v="CUST100578"/>
        <s v="CUST100579"/>
        <s v="CUST100580"/>
        <s v="CUST100581"/>
        <s v="CUST100582"/>
        <s v="CUST100583"/>
        <s v="CUST100584"/>
        <s v="CUST100585"/>
        <s v="CUST100586"/>
        <s v="CUST100587"/>
        <s v="CUST100588"/>
        <s v="CUST100589"/>
        <s v="CUST100590"/>
        <s v="CUST100591"/>
        <s v="CUST100592"/>
        <s v="CUST100593"/>
        <s v="CUST100594"/>
        <s v="CUST100595"/>
        <s v="CUST100596"/>
        <s v="CUST100597"/>
        <s v="CUST100598"/>
        <s v="CUST100599"/>
        <s v="CUST100600"/>
        <s v="CUST100601"/>
        <s v="CUST100602"/>
        <s v="CUST100603"/>
        <s v="CUST100604"/>
        <s v="CUST100605"/>
        <s v="CUST100606"/>
        <s v="CUST100607"/>
        <s v="CUST100608"/>
        <s v="CUST100609"/>
        <s v="CUST100610"/>
        <s v="CUST100611"/>
        <s v="CUST100612"/>
        <s v="CUST100613"/>
        <s v="CUST100614"/>
        <s v="CUST100615"/>
        <s v="CUST100616"/>
        <s v="CUST100617"/>
        <s v="CUST100618"/>
        <s v="CUST100619"/>
        <s v="CUST100620"/>
        <s v="CUST100621"/>
        <s v="CUST100622"/>
        <s v="CUST100623"/>
        <s v="CUST100624"/>
        <s v="CUST100625"/>
        <s v="CUST100626"/>
        <s v="CUST100627"/>
        <s v="CUST100628"/>
        <s v="CUST100629"/>
        <s v="CUST100630"/>
        <s v="CUST100631"/>
        <s v="CUST100632"/>
        <s v="CUST100633"/>
        <s v="CUST100634"/>
        <s v="CUST100635"/>
        <s v="CUST100636"/>
        <s v="CUST100637"/>
        <s v="CUST100638"/>
        <s v="CUST100639"/>
        <s v="CUST100640"/>
        <s v="CUST100641"/>
        <s v="CUST100642"/>
        <s v="CUST100643"/>
        <s v="CUST100644"/>
        <s v="CUST100645"/>
        <s v="CUST100646"/>
        <s v="CUST100647"/>
        <s v="CUST100648"/>
        <s v="CUST100649"/>
        <s v="CUST100650"/>
        <s v="CUST100651"/>
        <s v="CUST100652"/>
        <s v="CUST100653"/>
        <s v="CUST100654"/>
        <s v="CUST100655"/>
        <s v="CUST100656"/>
        <s v="CUST100657"/>
        <s v="CUST100658"/>
        <s v="CUST100659"/>
        <s v="CUST100660"/>
        <s v="CUST100661"/>
        <s v="CUST100662"/>
        <s v="CUST100663"/>
        <s v="CUST100664"/>
        <s v="CUST100665"/>
        <s v="CUST100666"/>
        <s v="CUST100667"/>
        <s v="CUST100668"/>
        <s v="CUST100669"/>
        <s v="CUST100670"/>
        <s v="CUST100671"/>
        <s v="CUST100672"/>
        <s v="CUST100673"/>
        <s v="CUST100674"/>
        <s v="CUST100675"/>
        <s v="CUST100676"/>
        <s v="CUST100677"/>
        <s v="CUST100678"/>
        <s v="CUST100679"/>
        <s v="CUST100680"/>
        <s v="CUST100681"/>
        <s v="CUST100682"/>
        <s v="CUST100683"/>
        <s v="CUST100684"/>
        <s v="CUST100685"/>
        <s v="CUST100686"/>
        <s v="CUST100687"/>
        <s v="CUST100688"/>
        <s v="CUST100689"/>
        <s v="CUST100690"/>
        <s v="CUST100691"/>
        <s v="CUST100692"/>
        <s v="CUST100693"/>
        <s v="CUST100694"/>
        <s v="CUST100695"/>
        <s v="CUST100696"/>
        <s v="CUST100697"/>
        <s v="CUST100698"/>
        <s v="CUST100699"/>
        <s v="CUST100700"/>
        <s v="CUST100701"/>
        <s v="CUST100702"/>
        <s v="CUST100703"/>
        <s v="CUST100704"/>
        <s v="CUST100705"/>
        <s v="CUST100706"/>
        <s v="CUST100707"/>
        <s v="CUST100708"/>
        <s v="CUST100709"/>
        <s v="CUST100710"/>
        <s v="CUST100711"/>
        <s v="CUST100712"/>
        <s v="CUST100713"/>
        <s v="CUST100714"/>
        <s v="CUST100715"/>
        <s v="CUST100716"/>
        <s v="CUST100717"/>
        <s v="CUST100718"/>
        <s v="CUST100719"/>
        <s v="CUST100720"/>
        <s v="CUST100721"/>
        <s v="CUST100722"/>
        <s v="CUST100723"/>
        <s v="CUST100724"/>
        <s v="CUST100725"/>
        <s v="CUST100726"/>
        <s v="CUST100727"/>
        <s v="CUST100728"/>
        <s v="CUST100729"/>
        <s v="CUST100730"/>
        <s v="CUST100731"/>
        <s v="CUST100732"/>
        <s v="CUST100733"/>
        <s v="CUST100734"/>
        <s v="CUST100735"/>
        <s v="CUST100736"/>
        <s v="CUST100737"/>
        <s v="CUST100738"/>
        <s v="CUST100739"/>
        <s v="CUST100740"/>
        <s v="CUST100741"/>
        <s v="CUST100742"/>
        <s v="CUST100743"/>
        <s v="CUST100744"/>
        <s v="CUST100745"/>
        <s v="CUST100746"/>
        <s v="CUST100747"/>
        <s v="CUST100748"/>
        <s v="CUST100749"/>
        <s v="CUST100750"/>
        <s v="CUST100751"/>
        <s v="CUST100752"/>
        <s v="CUST100753"/>
        <s v="CUST100754"/>
        <s v="CUST100755"/>
        <s v="CUST100756"/>
        <s v="CUST100757"/>
        <s v="CUST100758"/>
        <s v="CUST100759"/>
        <s v="CUST100760"/>
        <s v="CUST100761"/>
        <s v="CUST100762"/>
        <s v="CUST100763"/>
        <s v="CUST100764"/>
        <s v="CUST100765"/>
        <s v="CUST100766"/>
        <s v="CUST100767"/>
        <s v="CUST100768"/>
        <s v="CUST100769"/>
        <s v="CUST100770"/>
        <s v="CUST100771"/>
        <s v="CUST100772"/>
        <s v="CUST100773"/>
        <s v="CUST100774"/>
        <s v="CUST100775"/>
        <s v="CUST100776"/>
        <s v="CUST100777"/>
        <s v="CUST100778"/>
        <s v="CUST100779"/>
        <s v="CUST100780"/>
        <s v="CUST100781"/>
        <s v="CUST100782"/>
        <s v="CUST100783"/>
        <s v="CUST100784"/>
        <s v="CUST100785"/>
        <s v="CUST100786"/>
        <s v="CUST100787"/>
        <s v="CUST100788"/>
        <s v="CUST100789"/>
        <s v="CUST100790"/>
        <s v="CUST100791"/>
        <s v="CUST100792"/>
        <s v="CUST100793"/>
        <s v="CUST100794"/>
        <s v="CUST100795"/>
        <s v="CUST100796"/>
        <s v="CUST100797"/>
        <s v="CUST100798"/>
        <s v="CUST100799"/>
        <s v="CUST100800"/>
      </sharedItems>
    </cacheField>
    <cacheField name="Age" numFmtId="0">
      <sharedItems containsSemiMixedTypes="0" containsString="0" containsNumber="1" containsInteger="1" minValue="18" maxValue="78"/>
    </cacheField>
    <cacheField name="Gender" numFmtId="0">
      <sharedItems/>
    </cacheField>
    <cacheField name="MaritalStatus" numFmtId="0">
      <sharedItems/>
    </cacheField>
    <cacheField name="Region" numFmtId="0">
      <sharedItems count="5">
        <s v="North"/>
        <s v="Central"/>
        <s v="South"/>
        <s v="East"/>
        <s v="West"/>
      </sharedItems>
    </cacheField>
    <cacheField name="Branch" numFmtId="0">
      <sharedItems/>
    </cacheField>
    <cacheField name="Occupation" numFmtId="0">
      <sharedItems/>
    </cacheField>
    <cacheField name="JoinDate" numFmtId="0">
      <sharedItems/>
    </cacheField>
    <cacheField name="TenureYears" numFmtId="0">
      <sharedItems containsSemiMixedTypes="0" containsString="0" containsNumber="1" minValue="0.1" maxValue="8.1999999999999993"/>
    </cacheField>
    <cacheField name="AccountType" numFmtId="0">
      <sharedItems count="5">
        <s v="Salary"/>
        <s v="Savings"/>
        <s v="Current"/>
        <s v="NRI"/>
        <s v="Fixed Deposit"/>
      </sharedItems>
    </cacheField>
    <cacheField name="NumProducts" numFmtId="0">
      <sharedItems containsSemiMixedTypes="0" containsString="0" containsNumber="1" containsInteger="1" minValue="1" maxValue="5"/>
    </cacheField>
    <cacheField name="AccountBalance" numFmtId="0">
      <sharedItems containsSemiMixedTypes="0" containsString="0" containsNumber="1" minValue="0" maxValue="223851.96"/>
    </cacheField>
    <cacheField name="MonthlyIncome" numFmtId="0">
      <sharedItems containsSemiMixedTypes="0" containsString="0" containsNumber="1" minValue="8000" maxValue="111398.26"/>
    </cacheField>
    <cacheField name="CreditScore" numFmtId="0">
      <sharedItems containsSemiMixedTypes="0" containsString="0" containsNumber="1" containsInteger="1" minValue="368" maxValue="850"/>
    </cacheField>
    <cacheField name="CreditBand" numFmtId="0">
      <sharedItems count="5">
        <s v="Fair"/>
        <s v="Good"/>
        <s v="Very Good"/>
        <s v="Excellent"/>
        <s v="Poor"/>
      </sharedItems>
    </cacheField>
    <cacheField name="LoanType" numFmtId="0">
      <sharedItems count="6">
        <s v="Credit Card Loan"/>
        <s v="None"/>
        <s v="Auto Loan"/>
        <s v="Home Loan"/>
        <s v="Education Loan"/>
        <s v="Personal Loan"/>
      </sharedItems>
    </cacheField>
    <cacheField name="LoanAmount" numFmtId="0">
      <sharedItems containsSemiMixedTypes="0" containsString="0" containsNumber="1" minValue="0" maxValue="2496960.38"/>
    </cacheField>
    <cacheField name="LoanStatus" numFmtId="0">
      <sharedItems/>
    </cacheField>
    <cacheField name="CardType" numFmtId="0">
      <sharedItems/>
    </cacheField>
    <cacheField name="CreditLimit" numFmtId="0">
      <sharedItems containsSemiMixedTypes="0" containsString="0" containsNumber="1" minValue="0" maxValue="495199.36"/>
    </cacheField>
    <cacheField name="MonthlyTransactions" numFmtId="0">
      <sharedItems containsSemiMixedTypes="0" containsString="0" containsNumber="1" containsInteger="1" minValue="0" maxValue="60"/>
    </cacheField>
    <cacheField name="AvgTransactionValue" numFmtId="0">
      <sharedItems containsSemiMixedTypes="0" containsString="0" containsNumber="1" minValue="236.4" maxValue="14977.45"/>
    </cacheField>
    <cacheField name="DigitalEngagementScore" numFmtId="0">
      <sharedItems containsSemiMixedTypes="0" containsString="0" containsNumber="1" minValue="0.5" maxValue="100"/>
    </cacheField>
    <cacheField name="ComplaintsLastYear" numFmtId="0">
      <sharedItems containsSemiMixedTypes="0" containsString="0" containsNumber="1" containsInteger="1" minValue="0" maxValue="4" count="5">
        <n v="0"/>
        <n v="1"/>
        <n v="2"/>
        <n v="4"/>
        <n v="3"/>
      </sharedItems>
    </cacheField>
    <cacheField name="PreferredChannel" numFmtId="0">
      <sharedItems count="5">
        <s v="ATM"/>
        <s v="Branch"/>
        <s v="Internet Banking"/>
        <s v="Call Center"/>
        <s v="Mobile App"/>
      </sharedItems>
    </cacheField>
    <cacheField name="SatisfactionLevel" numFmtId="0">
      <sharedItems count="5">
        <s v="Dissatisfied"/>
        <s v="Satisfied"/>
        <s v="Very Satisfied"/>
        <s v="Very Dissatisfied"/>
        <s v="Neutral"/>
      </sharedItems>
    </cacheField>
    <cacheField name="LastActivityDaysAgo" numFmtId="0">
      <sharedItems containsSemiMixedTypes="0" containsString="0" containsNumber="1" containsInteger="1" minValue="0" maxValue="400"/>
    </cacheField>
    <cacheField name="Churned" numFmtId="0">
      <sharedItems count="2">
        <s v="No"/>
        <s v="Yes"/>
      </sharedItems>
    </cacheField>
  </cacheFields>
  <extLst>
    <ext xmlns:x14="http://schemas.microsoft.com/office/spreadsheetml/2009/9/main" uri="{725AE2AE-9491-48be-B2B4-4EB974FC3084}">
      <x14:pivotCacheDefinition pivotCacheId="9484513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x v="0"/>
    <n v="76"/>
    <s v="Female"/>
    <s v="Married"/>
    <x v="0"/>
    <s v="Branch-Riverside"/>
    <s v="Self-Employed"/>
    <s v="2021-03-23"/>
    <n v="5.3"/>
    <x v="0"/>
    <n v="4"/>
    <n v="87080.63"/>
    <n v="54039.839999999997"/>
    <n v="660"/>
    <x v="0"/>
    <x v="0"/>
    <n v="473507.7"/>
    <s v="Active"/>
    <s v="Credit Only"/>
    <n v="440261.72"/>
    <n v="11"/>
    <n v="7518.58"/>
    <n v="38.700000000000003"/>
    <x v="0"/>
    <x v="0"/>
    <x v="0"/>
    <n v="302"/>
    <x v="0"/>
  </r>
  <r>
    <x v="1"/>
    <n v="52"/>
    <s v="Male"/>
    <s v="Widowed"/>
    <x v="0"/>
    <s v="Branch-Northgate"/>
    <s v="Self-Employed"/>
    <s v="2018-09-14"/>
    <n v="7.8"/>
    <x v="1"/>
    <n v="1"/>
    <n v="82623.3"/>
    <n v="23727.52"/>
    <n v="700"/>
    <x v="1"/>
    <x v="0"/>
    <n v="2162468.54"/>
    <s v="Active"/>
    <s v="None"/>
    <n v="0"/>
    <n v="53"/>
    <n v="13106.67"/>
    <n v="87.6"/>
    <x v="1"/>
    <x v="1"/>
    <x v="1"/>
    <n v="58"/>
    <x v="0"/>
  </r>
  <r>
    <x v="2"/>
    <n v="69"/>
    <s v="Female"/>
    <s v="Married"/>
    <x v="1"/>
    <s v="Branch-Westfield"/>
    <s v="Salaried"/>
    <s v="2023-11-21"/>
    <n v="2.6"/>
    <x v="0"/>
    <n v="2"/>
    <n v="0"/>
    <n v="18585.62"/>
    <n v="588"/>
    <x v="0"/>
    <x v="1"/>
    <n v="0"/>
    <s v="N/A"/>
    <s v="Credit Only"/>
    <n v="46961.37"/>
    <n v="1"/>
    <n v="316.89999999999998"/>
    <n v="18.600000000000001"/>
    <x v="0"/>
    <x v="0"/>
    <x v="2"/>
    <n v="130"/>
    <x v="0"/>
  </r>
  <r>
    <x v="3"/>
    <n v="38"/>
    <s v="Male"/>
    <s v="Divorced"/>
    <x v="0"/>
    <s v="Branch-Northgate"/>
    <s v="Business Owner"/>
    <s v="2022-10-26"/>
    <n v="3.7"/>
    <x v="2"/>
    <n v="2"/>
    <n v="145610.75"/>
    <n v="64849.93"/>
    <n v="626"/>
    <x v="0"/>
    <x v="1"/>
    <n v="0"/>
    <s v="N/A"/>
    <s v="Debit Only"/>
    <n v="0"/>
    <n v="30"/>
    <n v="11582.52"/>
    <n v="36.799999999999997"/>
    <x v="0"/>
    <x v="0"/>
    <x v="3"/>
    <n v="348"/>
    <x v="0"/>
  </r>
  <r>
    <x v="4"/>
    <n v="32"/>
    <s v="Female"/>
    <s v="Single"/>
    <x v="1"/>
    <s v="Branch-Oakridge"/>
    <s v="Student"/>
    <s v="2022-01-29"/>
    <n v="4.4000000000000004"/>
    <x v="1"/>
    <n v="2"/>
    <n v="39042.39"/>
    <n v="52249.61"/>
    <n v="626"/>
    <x v="0"/>
    <x v="2"/>
    <n v="1578763.04"/>
    <s v="Active"/>
    <s v="None"/>
    <n v="0"/>
    <n v="18"/>
    <n v="9008.2099999999991"/>
    <n v="20.7"/>
    <x v="0"/>
    <x v="1"/>
    <x v="3"/>
    <n v="261"/>
    <x v="0"/>
  </r>
  <r>
    <x v="5"/>
    <n v="44"/>
    <s v="Female"/>
    <s v="Divorced"/>
    <x v="1"/>
    <s v="Branch-Northgate"/>
    <s v="Freelancer"/>
    <s v="2026-03-15"/>
    <n v="0.3"/>
    <x v="1"/>
    <n v="2"/>
    <n v="0"/>
    <n v="45503.37"/>
    <n v="700"/>
    <x v="1"/>
    <x v="1"/>
    <n v="0"/>
    <s v="N/A"/>
    <s v="Debit Only"/>
    <n v="0"/>
    <n v="9"/>
    <n v="12707.47"/>
    <n v="40.5"/>
    <x v="1"/>
    <x v="2"/>
    <x v="1"/>
    <n v="382"/>
    <x v="0"/>
  </r>
  <r>
    <x v="6"/>
    <n v="21"/>
    <s v="Male"/>
    <s v="Married"/>
    <x v="1"/>
    <s v="Branch-Oakridge"/>
    <s v="Salaried"/>
    <s v="2024-01-18"/>
    <n v="2.4"/>
    <x v="3"/>
    <n v="5"/>
    <n v="90299.79"/>
    <n v="28477.74"/>
    <n v="783"/>
    <x v="2"/>
    <x v="0"/>
    <n v="739074.92"/>
    <s v="Active"/>
    <s v="Credit Only"/>
    <n v="140967.67000000001"/>
    <n v="58"/>
    <n v="10883.05"/>
    <n v="39.4"/>
    <x v="0"/>
    <x v="1"/>
    <x v="1"/>
    <n v="277"/>
    <x v="0"/>
  </r>
  <r>
    <x v="7"/>
    <n v="56"/>
    <s v="Male"/>
    <s v="Single"/>
    <x v="1"/>
    <s v="Branch-Riverside"/>
    <s v="Business Owner"/>
    <s v="2019-05-15"/>
    <n v="7.1"/>
    <x v="3"/>
    <n v="3"/>
    <n v="35835.75"/>
    <n v="39096.949999999997"/>
    <n v="702"/>
    <x v="1"/>
    <x v="2"/>
    <n v="2431059.75"/>
    <s v="Closed"/>
    <s v="Both"/>
    <n v="356156.81"/>
    <n v="52"/>
    <n v="340.83"/>
    <n v="36.9"/>
    <x v="0"/>
    <x v="1"/>
    <x v="4"/>
    <n v="374"/>
    <x v="0"/>
  </r>
  <r>
    <x v="8"/>
    <n v="48"/>
    <s v="Female"/>
    <s v="Single"/>
    <x v="2"/>
    <s v="Branch-Greenfield"/>
    <s v="Student"/>
    <s v="2024-01-13"/>
    <n v="2.5"/>
    <x v="1"/>
    <n v="4"/>
    <n v="654.58000000000004"/>
    <n v="35642.980000000003"/>
    <n v="716"/>
    <x v="1"/>
    <x v="3"/>
    <n v="495448.34"/>
    <s v="Closed"/>
    <s v="Credit Only"/>
    <n v="426215.84"/>
    <n v="47"/>
    <n v="9080.6"/>
    <n v="50.2"/>
    <x v="0"/>
    <x v="2"/>
    <x v="1"/>
    <n v="182"/>
    <x v="0"/>
  </r>
  <r>
    <x v="9"/>
    <n v="28"/>
    <s v="Female"/>
    <s v="Single"/>
    <x v="2"/>
    <s v="Branch-Northgate"/>
    <s v="Student"/>
    <s v="2025-08-03"/>
    <n v="0.9"/>
    <x v="1"/>
    <n v="5"/>
    <n v="44494.31"/>
    <n v="64036.85"/>
    <n v="814"/>
    <x v="3"/>
    <x v="1"/>
    <n v="0"/>
    <s v="N/A"/>
    <s v="Both"/>
    <n v="446434.35"/>
    <n v="52"/>
    <n v="14610.84"/>
    <n v="3.4"/>
    <x v="2"/>
    <x v="0"/>
    <x v="0"/>
    <n v="286"/>
    <x v="1"/>
  </r>
  <r>
    <x v="10"/>
    <n v="59"/>
    <s v="Male"/>
    <s v="Married"/>
    <x v="3"/>
    <s v="Branch-Lakeview"/>
    <s v="Retired"/>
    <s v="2023-06-21"/>
    <n v="3"/>
    <x v="1"/>
    <n v="3"/>
    <n v="0"/>
    <n v="24015.439999999999"/>
    <n v="693"/>
    <x v="1"/>
    <x v="2"/>
    <n v="547755.67000000004"/>
    <s v="Active"/>
    <s v="None"/>
    <n v="0"/>
    <n v="47"/>
    <n v="1110.76"/>
    <n v="97.6"/>
    <x v="3"/>
    <x v="2"/>
    <x v="0"/>
    <n v="2"/>
    <x v="0"/>
  </r>
  <r>
    <x v="11"/>
    <n v="38"/>
    <s v="Male"/>
    <s v="Divorced"/>
    <x v="3"/>
    <s v="Branch-Hillcrest"/>
    <s v="Freelancer"/>
    <s v="2022-06-13"/>
    <n v="4"/>
    <x v="2"/>
    <n v="3"/>
    <n v="0"/>
    <n v="44563.5"/>
    <n v="784"/>
    <x v="2"/>
    <x v="4"/>
    <n v="618351.35"/>
    <s v="Active"/>
    <s v="Credit Only"/>
    <n v="166694.67000000001"/>
    <n v="41"/>
    <n v="14422.98"/>
    <n v="8.3000000000000007"/>
    <x v="4"/>
    <x v="3"/>
    <x v="0"/>
    <n v="251"/>
    <x v="0"/>
  </r>
  <r>
    <x v="12"/>
    <n v="38"/>
    <s v="Female"/>
    <s v="Widowed"/>
    <x v="3"/>
    <s v="Branch-Midtown"/>
    <s v="Freelancer"/>
    <s v="2021-11-27"/>
    <n v="4.5999999999999996"/>
    <x v="0"/>
    <n v="2"/>
    <n v="43782.62"/>
    <n v="55048.47"/>
    <n v="633"/>
    <x v="0"/>
    <x v="5"/>
    <n v="439618.13"/>
    <s v="Closed"/>
    <s v="Both"/>
    <n v="71195.86"/>
    <n v="16"/>
    <n v="6840.56"/>
    <n v="80.099999999999994"/>
    <x v="0"/>
    <x v="0"/>
    <x v="0"/>
    <n v="211"/>
    <x v="0"/>
  </r>
  <r>
    <x v="13"/>
    <n v="65"/>
    <s v="Female"/>
    <s v="Married"/>
    <x v="1"/>
    <s v="Branch-Hillcrest"/>
    <s v="Self-Employed"/>
    <s v="2022-11-15"/>
    <n v="3.6"/>
    <x v="0"/>
    <n v="3"/>
    <n v="38070.949999999997"/>
    <n v="16568.009999999998"/>
    <n v="755"/>
    <x v="2"/>
    <x v="3"/>
    <n v="2118639.4900000002"/>
    <s v="Closed"/>
    <s v="Credit Only"/>
    <n v="298746.11"/>
    <n v="38"/>
    <n v="13441.19"/>
    <n v="66.599999999999994"/>
    <x v="1"/>
    <x v="0"/>
    <x v="1"/>
    <n v="64"/>
    <x v="0"/>
  </r>
  <r>
    <x v="14"/>
    <n v="78"/>
    <s v="Male"/>
    <s v="Widowed"/>
    <x v="2"/>
    <s v="Branch-Eastwood"/>
    <s v="Salaried"/>
    <s v="2022-11-05"/>
    <n v="3.7"/>
    <x v="1"/>
    <n v="5"/>
    <n v="10364.34"/>
    <n v="75862.7"/>
    <n v="716"/>
    <x v="1"/>
    <x v="1"/>
    <n v="0"/>
    <s v="N/A"/>
    <s v="Both"/>
    <n v="73036.06"/>
    <n v="33"/>
    <n v="7447.24"/>
    <n v="96.9"/>
    <x v="0"/>
    <x v="2"/>
    <x v="4"/>
    <n v="309"/>
    <x v="0"/>
  </r>
  <r>
    <x v="15"/>
    <n v="44"/>
    <s v="Female"/>
    <s v="Widowed"/>
    <x v="1"/>
    <s v="Branch-Eastwood"/>
    <s v="Retired"/>
    <s v="2020-09-22"/>
    <n v="5.8"/>
    <x v="1"/>
    <n v="3"/>
    <n v="35124.79"/>
    <n v="76116.45"/>
    <n v="569"/>
    <x v="4"/>
    <x v="5"/>
    <n v="1922923.78"/>
    <s v="Active"/>
    <s v="Both"/>
    <n v="420910.42"/>
    <n v="35"/>
    <n v="11361.75"/>
    <n v="21.1"/>
    <x v="1"/>
    <x v="0"/>
    <x v="3"/>
    <n v="158"/>
    <x v="0"/>
  </r>
  <r>
    <x v="16"/>
    <n v="50"/>
    <s v="Male"/>
    <s v="Married"/>
    <x v="4"/>
    <s v="Branch-Greenfield"/>
    <s v="Freelancer"/>
    <s v="2023-12-17"/>
    <n v="2.5"/>
    <x v="4"/>
    <n v="2"/>
    <n v="109371.99"/>
    <n v="42923.08"/>
    <n v="763"/>
    <x v="2"/>
    <x v="1"/>
    <n v="0"/>
    <s v="N/A"/>
    <s v="None"/>
    <n v="0"/>
    <n v="54"/>
    <n v="11859.28"/>
    <n v="21.6"/>
    <x v="2"/>
    <x v="1"/>
    <x v="3"/>
    <n v="255"/>
    <x v="1"/>
  </r>
  <r>
    <x v="17"/>
    <n v="53"/>
    <s v="Male"/>
    <s v="Single"/>
    <x v="2"/>
    <s v="Branch-Riverside"/>
    <s v="Salaried"/>
    <s v="2019-09-05"/>
    <n v="6.8"/>
    <x v="2"/>
    <n v="1"/>
    <n v="7738.1"/>
    <n v="60185.39"/>
    <n v="780"/>
    <x v="2"/>
    <x v="1"/>
    <n v="0"/>
    <s v="N/A"/>
    <s v="Both"/>
    <n v="96116.08"/>
    <n v="17"/>
    <n v="3847.15"/>
    <n v="62.2"/>
    <x v="1"/>
    <x v="2"/>
    <x v="4"/>
    <n v="355"/>
    <x v="0"/>
  </r>
  <r>
    <x v="18"/>
    <n v="70"/>
    <s v="Female"/>
    <s v="Widowed"/>
    <x v="4"/>
    <s v="Branch-Greenfield"/>
    <s v="Salaried"/>
    <s v="2023-08-03"/>
    <n v="2.9"/>
    <x v="0"/>
    <n v="1"/>
    <n v="0"/>
    <n v="69036.89"/>
    <n v="581"/>
    <x v="0"/>
    <x v="2"/>
    <n v="1569030.62"/>
    <s v="Closed"/>
    <s v="Debit Only"/>
    <n v="0"/>
    <n v="4"/>
    <n v="10397.18"/>
    <n v="57.7"/>
    <x v="1"/>
    <x v="2"/>
    <x v="1"/>
    <n v="308"/>
    <x v="0"/>
  </r>
  <r>
    <x v="19"/>
    <n v="25"/>
    <s v="Male"/>
    <s v="Widowed"/>
    <x v="2"/>
    <s v="Branch-Northgate"/>
    <s v="Salaried"/>
    <s v="2025-08-05"/>
    <n v="0.9"/>
    <x v="1"/>
    <n v="5"/>
    <n v="131605.26999999999"/>
    <n v="37948.1"/>
    <n v="703"/>
    <x v="1"/>
    <x v="1"/>
    <n v="0"/>
    <s v="N/A"/>
    <s v="Both"/>
    <n v="395115.2"/>
    <n v="31"/>
    <n v="4749.34"/>
    <n v="10"/>
    <x v="0"/>
    <x v="0"/>
    <x v="1"/>
    <n v="338"/>
    <x v="0"/>
  </r>
  <r>
    <x v="20"/>
    <n v="66"/>
    <s v="Male"/>
    <s v="Widowed"/>
    <x v="1"/>
    <s v="Branch-Lakeview"/>
    <s v="Freelancer"/>
    <s v="2024-10-04"/>
    <n v="1.7"/>
    <x v="1"/>
    <n v="4"/>
    <n v="67581.509999999995"/>
    <n v="74580.03"/>
    <n v="697"/>
    <x v="1"/>
    <x v="1"/>
    <n v="0"/>
    <s v="N/A"/>
    <s v="Credit Only"/>
    <n v="460695.54"/>
    <n v="2"/>
    <n v="6894.55"/>
    <n v="68.3"/>
    <x v="2"/>
    <x v="1"/>
    <x v="1"/>
    <n v="308"/>
    <x v="0"/>
  </r>
  <r>
    <x v="21"/>
    <n v="49"/>
    <s v="Male"/>
    <s v="Divorced"/>
    <x v="2"/>
    <s v="Branch-Northgate"/>
    <s v="Salaried"/>
    <s v="2023-12-13"/>
    <n v="2.5"/>
    <x v="4"/>
    <n v="1"/>
    <n v="42424.72"/>
    <n v="41932.75"/>
    <n v="583"/>
    <x v="0"/>
    <x v="2"/>
    <n v="1225856.32"/>
    <s v="Active"/>
    <s v="Credit Only"/>
    <n v="220502.7"/>
    <n v="54"/>
    <n v="14315.35"/>
    <n v="54.9"/>
    <x v="0"/>
    <x v="2"/>
    <x v="4"/>
    <n v="193"/>
    <x v="0"/>
  </r>
  <r>
    <x v="22"/>
    <n v="23"/>
    <s v="Male"/>
    <s v="Widowed"/>
    <x v="3"/>
    <s v="Branch-Hillcrest"/>
    <s v="Self-Employed"/>
    <s v="2023-10-19"/>
    <n v="2.7"/>
    <x v="0"/>
    <n v="1"/>
    <n v="13280.37"/>
    <n v="52051.17"/>
    <n v="666"/>
    <x v="0"/>
    <x v="5"/>
    <n v="945980.22"/>
    <s v="Closed"/>
    <s v="Credit Only"/>
    <n v="169186.81"/>
    <n v="23"/>
    <n v="10755.44"/>
    <n v="99.5"/>
    <x v="0"/>
    <x v="1"/>
    <x v="4"/>
    <n v="289"/>
    <x v="0"/>
  </r>
  <r>
    <x v="23"/>
    <n v="70"/>
    <s v="Female"/>
    <s v="Widowed"/>
    <x v="0"/>
    <s v="Branch-Eastwood"/>
    <s v="Student"/>
    <s v="2020-03-19"/>
    <n v="6.3"/>
    <x v="0"/>
    <n v="1"/>
    <n v="0"/>
    <n v="66672.41"/>
    <n v="632"/>
    <x v="0"/>
    <x v="0"/>
    <n v="1883694.47"/>
    <s v="Closed"/>
    <s v="Debit Only"/>
    <n v="0"/>
    <n v="33"/>
    <n v="9253.9"/>
    <n v="75.3"/>
    <x v="0"/>
    <x v="4"/>
    <x v="2"/>
    <n v="336"/>
    <x v="0"/>
  </r>
  <r>
    <x v="24"/>
    <n v="39"/>
    <s v="Female"/>
    <s v="Widowed"/>
    <x v="3"/>
    <s v="Branch-Southpark"/>
    <s v="Student"/>
    <s v="2018-10-10"/>
    <n v="7.7"/>
    <x v="2"/>
    <n v="4"/>
    <n v="32558.74"/>
    <n v="22136.05"/>
    <n v="575"/>
    <x v="4"/>
    <x v="1"/>
    <n v="0"/>
    <s v="N/A"/>
    <s v="Debit Only"/>
    <n v="0"/>
    <n v="38"/>
    <n v="7520.85"/>
    <n v="19.399999999999999"/>
    <x v="0"/>
    <x v="3"/>
    <x v="1"/>
    <n v="50"/>
    <x v="0"/>
  </r>
  <r>
    <x v="25"/>
    <n v="41"/>
    <s v="Female"/>
    <s v="Divorced"/>
    <x v="3"/>
    <s v="Branch-Riverside"/>
    <s v="Student"/>
    <s v="2019-02-13"/>
    <n v="7.4"/>
    <x v="0"/>
    <n v="5"/>
    <n v="131049.66"/>
    <n v="27103.49"/>
    <n v="674"/>
    <x v="1"/>
    <x v="1"/>
    <n v="0"/>
    <s v="N/A"/>
    <s v="Credit Only"/>
    <n v="235756.47"/>
    <n v="27"/>
    <n v="13368.46"/>
    <n v="73.400000000000006"/>
    <x v="1"/>
    <x v="2"/>
    <x v="1"/>
    <n v="346"/>
    <x v="1"/>
  </r>
  <r>
    <x v="26"/>
    <n v="45"/>
    <s v="Female"/>
    <s v="Widowed"/>
    <x v="2"/>
    <s v="Branch-Downtown"/>
    <s v="Retired"/>
    <s v="2021-01-01"/>
    <n v="5.5"/>
    <x v="0"/>
    <n v="1"/>
    <n v="38742.639999999999"/>
    <n v="73375.86"/>
    <n v="389"/>
    <x v="4"/>
    <x v="4"/>
    <n v="1275066.8799999999"/>
    <s v="Active"/>
    <s v="Credit Only"/>
    <n v="246427.59"/>
    <n v="57"/>
    <n v="12546.78"/>
    <n v="32.9"/>
    <x v="4"/>
    <x v="3"/>
    <x v="4"/>
    <n v="292"/>
    <x v="1"/>
  </r>
  <r>
    <x v="27"/>
    <n v="49"/>
    <s v="Female"/>
    <s v="Married"/>
    <x v="3"/>
    <s v="Branch-Riverside"/>
    <s v="Self-Employed"/>
    <s v="2018-10-09"/>
    <n v="7.7"/>
    <x v="0"/>
    <n v="5"/>
    <n v="0"/>
    <n v="35560.31"/>
    <n v="779"/>
    <x v="2"/>
    <x v="2"/>
    <n v="1271477.1100000001"/>
    <s v="Closed"/>
    <s v="Both"/>
    <n v="69020.81"/>
    <n v="41"/>
    <n v="886.65"/>
    <n v="60.8"/>
    <x v="0"/>
    <x v="1"/>
    <x v="1"/>
    <n v="250"/>
    <x v="1"/>
  </r>
  <r>
    <x v="28"/>
    <n v="30"/>
    <s v="Male"/>
    <s v="Married"/>
    <x v="2"/>
    <s v="Branch-Oakridge"/>
    <s v="Freelancer"/>
    <s v="2021-07-30"/>
    <n v="4.9000000000000004"/>
    <x v="3"/>
    <n v="3"/>
    <n v="30130.639999999999"/>
    <n v="39751.019999999997"/>
    <n v="645"/>
    <x v="0"/>
    <x v="4"/>
    <n v="1836602.33"/>
    <s v="Active"/>
    <s v="None"/>
    <n v="0"/>
    <n v="19"/>
    <n v="236.4"/>
    <n v="86.5"/>
    <x v="1"/>
    <x v="1"/>
    <x v="4"/>
    <n v="362"/>
    <x v="0"/>
  </r>
  <r>
    <x v="29"/>
    <n v="47"/>
    <s v="Female"/>
    <s v="Single"/>
    <x v="1"/>
    <s v="Branch-Lakeview"/>
    <s v="Salaried"/>
    <s v="2026-05-06"/>
    <n v="0.2"/>
    <x v="4"/>
    <n v="2"/>
    <n v="61883.72"/>
    <n v="90810.45"/>
    <n v="692"/>
    <x v="1"/>
    <x v="4"/>
    <n v="530070.61"/>
    <s v="Closed"/>
    <s v="Both"/>
    <n v="403145.84"/>
    <n v="38"/>
    <n v="12557.31"/>
    <n v="68.3"/>
    <x v="0"/>
    <x v="4"/>
    <x v="1"/>
    <n v="67"/>
    <x v="0"/>
  </r>
  <r>
    <x v="30"/>
    <n v="70"/>
    <s v="Female"/>
    <s v="Single"/>
    <x v="3"/>
    <s v="Branch-Westfield"/>
    <s v="Salaried"/>
    <s v="2018-08-04"/>
    <n v="7.9"/>
    <x v="1"/>
    <n v="1"/>
    <n v="13236.89"/>
    <n v="24352.77"/>
    <n v="629"/>
    <x v="0"/>
    <x v="0"/>
    <n v="607182.18999999994"/>
    <s v="Defaulted"/>
    <s v="Both"/>
    <n v="197693.52"/>
    <n v="57"/>
    <n v="8581.2199999999993"/>
    <n v="6.5"/>
    <x v="0"/>
    <x v="2"/>
    <x v="0"/>
    <n v="216"/>
    <x v="0"/>
  </r>
  <r>
    <x v="31"/>
    <n v="61"/>
    <s v="Female"/>
    <s v="Divorced"/>
    <x v="2"/>
    <s v="Branch-Southpark"/>
    <s v="Business Owner"/>
    <s v="2023-07-20"/>
    <n v="2.9"/>
    <x v="2"/>
    <n v="1"/>
    <n v="24752.42"/>
    <n v="55168.65"/>
    <n v="642"/>
    <x v="0"/>
    <x v="1"/>
    <n v="0"/>
    <s v="N/A"/>
    <s v="None"/>
    <n v="0"/>
    <n v="9"/>
    <n v="11442.84"/>
    <n v="88.2"/>
    <x v="0"/>
    <x v="4"/>
    <x v="2"/>
    <n v="90"/>
    <x v="0"/>
  </r>
  <r>
    <x v="32"/>
    <n v="42"/>
    <s v="Female"/>
    <s v="Widowed"/>
    <x v="3"/>
    <s v="Branch-Southpark"/>
    <s v="Student"/>
    <s v="2019-11-28"/>
    <n v="6.6"/>
    <x v="2"/>
    <n v="5"/>
    <n v="148450.01"/>
    <n v="18085.79"/>
    <n v="634"/>
    <x v="0"/>
    <x v="1"/>
    <n v="0"/>
    <s v="N/A"/>
    <s v="Debit Only"/>
    <n v="0"/>
    <n v="46"/>
    <n v="2994.04"/>
    <n v="70.8"/>
    <x v="0"/>
    <x v="0"/>
    <x v="1"/>
    <n v="370"/>
    <x v="0"/>
  </r>
  <r>
    <x v="33"/>
    <n v="38"/>
    <s v="Male"/>
    <s v="Divorced"/>
    <x v="4"/>
    <s v="Branch-Northgate"/>
    <s v="Freelancer"/>
    <s v="2025-03-17"/>
    <n v="1.3"/>
    <x v="1"/>
    <n v="3"/>
    <n v="52104.67"/>
    <n v="51465.17"/>
    <n v="552"/>
    <x v="4"/>
    <x v="1"/>
    <n v="0"/>
    <s v="N/A"/>
    <s v="Credit Only"/>
    <n v="52276.46"/>
    <n v="44"/>
    <n v="4937.6400000000003"/>
    <n v="90"/>
    <x v="1"/>
    <x v="2"/>
    <x v="2"/>
    <n v="111"/>
    <x v="0"/>
  </r>
  <r>
    <x v="34"/>
    <n v="30"/>
    <s v="Female"/>
    <s v="Single"/>
    <x v="3"/>
    <s v="Branch-Southpark"/>
    <s v="Self-Employed"/>
    <s v="2018-04-30"/>
    <n v="8.1999999999999993"/>
    <x v="1"/>
    <n v="1"/>
    <n v="22022.639999999999"/>
    <n v="54175.83"/>
    <n v="735"/>
    <x v="1"/>
    <x v="2"/>
    <n v="2268850.5699999998"/>
    <s v="Active"/>
    <s v="Both"/>
    <n v="390741.16"/>
    <n v="28"/>
    <n v="8521.61"/>
    <n v="18"/>
    <x v="0"/>
    <x v="0"/>
    <x v="4"/>
    <n v="277"/>
    <x v="0"/>
  </r>
  <r>
    <x v="35"/>
    <n v="55"/>
    <s v="Female"/>
    <s v="Widowed"/>
    <x v="1"/>
    <s v="Branch-Hillcrest"/>
    <s v="Student"/>
    <s v="2021-10-18"/>
    <n v="4.7"/>
    <x v="2"/>
    <n v="4"/>
    <n v="0"/>
    <n v="15972.59"/>
    <n v="663"/>
    <x v="0"/>
    <x v="1"/>
    <n v="0"/>
    <s v="N/A"/>
    <s v="None"/>
    <n v="0"/>
    <n v="39"/>
    <n v="14652.73"/>
    <n v="32"/>
    <x v="0"/>
    <x v="4"/>
    <x v="4"/>
    <n v="193"/>
    <x v="0"/>
  </r>
  <r>
    <x v="36"/>
    <n v="31"/>
    <s v="Male"/>
    <s v="Divorced"/>
    <x v="0"/>
    <s v="Branch-Greenfield"/>
    <s v="Self-Employed"/>
    <s v="2022-05-05"/>
    <n v="4.2"/>
    <x v="1"/>
    <n v="3"/>
    <n v="44390.96"/>
    <n v="70548.03"/>
    <n v="574"/>
    <x v="4"/>
    <x v="3"/>
    <n v="110036.09"/>
    <s v="Active"/>
    <s v="Debit Only"/>
    <n v="0"/>
    <n v="27"/>
    <n v="5546.17"/>
    <n v="92.3"/>
    <x v="0"/>
    <x v="2"/>
    <x v="1"/>
    <n v="332"/>
    <x v="0"/>
  </r>
  <r>
    <x v="37"/>
    <n v="69"/>
    <s v="Female"/>
    <s v="Divorced"/>
    <x v="2"/>
    <s v="Branch-Riverside"/>
    <s v="Salaried"/>
    <s v="2022-02-09"/>
    <n v="4.4000000000000004"/>
    <x v="1"/>
    <n v="4"/>
    <n v="103788.67"/>
    <n v="78138.98"/>
    <n v="641"/>
    <x v="0"/>
    <x v="4"/>
    <n v="1176485.02"/>
    <s v="Closed"/>
    <s v="None"/>
    <n v="0"/>
    <n v="24"/>
    <n v="7480.48"/>
    <n v="22.2"/>
    <x v="0"/>
    <x v="2"/>
    <x v="4"/>
    <n v="83"/>
    <x v="0"/>
  </r>
  <r>
    <x v="38"/>
    <n v="41"/>
    <s v="Female"/>
    <s v="Widowed"/>
    <x v="4"/>
    <s v="Branch-Greenfield"/>
    <s v="Salaried"/>
    <s v="2024-11-15"/>
    <n v="1.6"/>
    <x v="0"/>
    <n v="1"/>
    <n v="72589.06"/>
    <n v="60799.01"/>
    <n v="708"/>
    <x v="1"/>
    <x v="3"/>
    <n v="1316962.72"/>
    <s v="Active"/>
    <s v="Both"/>
    <n v="82156.06"/>
    <n v="20"/>
    <n v="12949.49"/>
    <n v="4.0999999999999996"/>
    <x v="0"/>
    <x v="3"/>
    <x v="3"/>
    <n v="305"/>
    <x v="0"/>
  </r>
  <r>
    <x v="39"/>
    <n v="69"/>
    <s v="Female"/>
    <s v="Married"/>
    <x v="2"/>
    <s v="Branch-Riverside"/>
    <s v="Retired"/>
    <s v="2018-09-14"/>
    <n v="7.8"/>
    <x v="4"/>
    <n v="3"/>
    <n v="23831.14"/>
    <n v="35108.29"/>
    <n v="612"/>
    <x v="0"/>
    <x v="1"/>
    <n v="0"/>
    <s v="N/A"/>
    <s v="Debit Only"/>
    <n v="0"/>
    <n v="8"/>
    <n v="4615.57"/>
    <n v="52.1"/>
    <x v="4"/>
    <x v="3"/>
    <x v="4"/>
    <n v="301"/>
    <x v="0"/>
  </r>
  <r>
    <x v="40"/>
    <n v="23"/>
    <s v="Male"/>
    <s v="Married"/>
    <x v="4"/>
    <s v="Branch-Oakridge"/>
    <s v="Business Owner"/>
    <s v="2021-07-09"/>
    <n v="5"/>
    <x v="1"/>
    <n v="3"/>
    <n v="101098.72"/>
    <n v="62350.09"/>
    <n v="740"/>
    <x v="2"/>
    <x v="2"/>
    <n v="2475760.85"/>
    <s v="Active"/>
    <s v="Debit Only"/>
    <n v="0"/>
    <n v="29"/>
    <n v="2972.91"/>
    <n v="20.100000000000001"/>
    <x v="0"/>
    <x v="2"/>
    <x v="1"/>
    <n v="327"/>
    <x v="0"/>
  </r>
  <r>
    <x v="41"/>
    <n v="53"/>
    <s v="Male"/>
    <s v="Single"/>
    <x v="3"/>
    <s v="Branch-Hillcrest"/>
    <s v="Student"/>
    <s v="2026-05-18"/>
    <n v="0.1"/>
    <x v="1"/>
    <n v="5"/>
    <n v="90700.75"/>
    <n v="46296.7"/>
    <n v="652"/>
    <x v="0"/>
    <x v="5"/>
    <n v="1172389.3700000001"/>
    <s v="Active"/>
    <s v="None"/>
    <n v="0"/>
    <n v="31"/>
    <n v="11513.57"/>
    <n v="64.5"/>
    <x v="1"/>
    <x v="1"/>
    <x v="4"/>
    <n v="21"/>
    <x v="0"/>
  </r>
  <r>
    <x v="42"/>
    <n v="72"/>
    <s v="Female"/>
    <s v="Married"/>
    <x v="1"/>
    <s v="Branch-Midtown"/>
    <s v="Salaried"/>
    <s v="2021-03-13"/>
    <n v="5.3"/>
    <x v="1"/>
    <n v="1"/>
    <n v="60810.720000000001"/>
    <n v="23466.76"/>
    <n v="493"/>
    <x v="4"/>
    <x v="1"/>
    <n v="0"/>
    <s v="N/A"/>
    <s v="Debit Only"/>
    <n v="0"/>
    <n v="26"/>
    <n v="8291.98"/>
    <n v="91"/>
    <x v="0"/>
    <x v="4"/>
    <x v="4"/>
    <n v="131"/>
    <x v="0"/>
  </r>
  <r>
    <x v="43"/>
    <n v="66"/>
    <s v="Female"/>
    <s v="Widowed"/>
    <x v="3"/>
    <s v="Branch-Lakeview"/>
    <s v="Self-Employed"/>
    <s v="2021-07-19"/>
    <n v="5"/>
    <x v="1"/>
    <n v="2"/>
    <n v="128334.26"/>
    <n v="19058.12"/>
    <n v="719"/>
    <x v="1"/>
    <x v="1"/>
    <n v="0"/>
    <s v="N/A"/>
    <s v="Debit Only"/>
    <n v="0"/>
    <n v="12"/>
    <n v="610.04999999999995"/>
    <n v="35.5"/>
    <x v="1"/>
    <x v="3"/>
    <x v="4"/>
    <n v="132"/>
    <x v="0"/>
  </r>
  <r>
    <x v="44"/>
    <n v="37"/>
    <s v="Female"/>
    <s v="Married"/>
    <x v="1"/>
    <s v="Branch-Riverside"/>
    <s v="Retired"/>
    <s v="2023-06-19"/>
    <n v="3"/>
    <x v="0"/>
    <n v="2"/>
    <n v="0"/>
    <n v="67457.88"/>
    <n v="775"/>
    <x v="2"/>
    <x v="4"/>
    <n v="1551794.52"/>
    <s v="Active"/>
    <s v="Debit Only"/>
    <n v="0"/>
    <n v="34"/>
    <n v="8149.01"/>
    <n v="63.9"/>
    <x v="0"/>
    <x v="3"/>
    <x v="1"/>
    <n v="77"/>
    <x v="0"/>
  </r>
  <r>
    <x v="45"/>
    <n v="25"/>
    <s v="Female"/>
    <s v="Married"/>
    <x v="4"/>
    <s v="Branch-Oakridge"/>
    <s v="Freelancer"/>
    <s v="2024-12-06"/>
    <n v="1.6"/>
    <x v="1"/>
    <n v="5"/>
    <n v="84599.85"/>
    <n v="40554.21"/>
    <n v="731"/>
    <x v="1"/>
    <x v="0"/>
    <n v="461519.33"/>
    <s v="Active"/>
    <s v="None"/>
    <n v="0"/>
    <n v="12"/>
    <n v="3771.44"/>
    <n v="95.4"/>
    <x v="1"/>
    <x v="2"/>
    <x v="3"/>
    <n v="173"/>
    <x v="1"/>
  </r>
  <r>
    <x v="46"/>
    <n v="33"/>
    <s v="Female"/>
    <s v="Divorced"/>
    <x v="4"/>
    <s v="Branch-Lakeview"/>
    <s v="Retired"/>
    <s v="2020-10-26"/>
    <n v="5.7"/>
    <x v="1"/>
    <n v="5"/>
    <n v="21164.31"/>
    <n v="50146.31"/>
    <n v="733"/>
    <x v="1"/>
    <x v="5"/>
    <n v="1508920.58"/>
    <s v="Active"/>
    <s v="Debit Only"/>
    <n v="0"/>
    <n v="53"/>
    <n v="9095.9599999999991"/>
    <n v="27.8"/>
    <x v="1"/>
    <x v="4"/>
    <x v="3"/>
    <n v="36"/>
    <x v="0"/>
  </r>
  <r>
    <x v="47"/>
    <n v="74"/>
    <s v="Male"/>
    <s v="Single"/>
    <x v="0"/>
    <s v="Branch-Southpark"/>
    <s v="Salaried"/>
    <s v="2020-03-24"/>
    <n v="6.3"/>
    <x v="2"/>
    <n v="3"/>
    <n v="66696.72"/>
    <n v="54141.82"/>
    <n v="821"/>
    <x v="3"/>
    <x v="2"/>
    <n v="1743605.03"/>
    <s v="Closed"/>
    <s v="Both"/>
    <n v="154927.01999999999"/>
    <n v="20"/>
    <n v="13863.25"/>
    <n v="46.1"/>
    <x v="2"/>
    <x v="0"/>
    <x v="2"/>
    <n v="82"/>
    <x v="0"/>
  </r>
  <r>
    <x v="48"/>
    <n v="33"/>
    <s v="Male"/>
    <s v="Married"/>
    <x v="4"/>
    <s v="Branch-Eastwood"/>
    <s v="Freelancer"/>
    <s v="2025-04-20"/>
    <n v="1.2"/>
    <x v="0"/>
    <n v="3"/>
    <n v="85987.23"/>
    <n v="20926.29"/>
    <n v="674"/>
    <x v="1"/>
    <x v="1"/>
    <n v="0"/>
    <s v="N/A"/>
    <s v="Both"/>
    <n v="268269.33"/>
    <n v="12"/>
    <n v="7355.22"/>
    <n v="41"/>
    <x v="0"/>
    <x v="0"/>
    <x v="4"/>
    <n v="100"/>
    <x v="0"/>
  </r>
  <r>
    <x v="49"/>
    <n v="51"/>
    <s v="Male"/>
    <s v="Widowed"/>
    <x v="1"/>
    <s v="Branch-Downtown"/>
    <s v="Salaried"/>
    <s v="2021-10-01"/>
    <n v="4.7"/>
    <x v="1"/>
    <n v="5"/>
    <n v="106289.03"/>
    <n v="18108.75"/>
    <n v="633"/>
    <x v="0"/>
    <x v="0"/>
    <n v="902550.61"/>
    <s v="Closed"/>
    <s v="Credit Only"/>
    <n v="161153.54999999999"/>
    <n v="35"/>
    <n v="3046.33"/>
    <n v="57.1"/>
    <x v="0"/>
    <x v="1"/>
    <x v="1"/>
    <n v="10"/>
    <x v="0"/>
  </r>
  <r>
    <x v="50"/>
    <n v="47"/>
    <s v="Female"/>
    <s v="Married"/>
    <x v="2"/>
    <s v="Branch-Westfield"/>
    <s v="Self-Employed"/>
    <s v="2025-03-29"/>
    <n v="1.3"/>
    <x v="1"/>
    <n v="4"/>
    <n v="81999.460000000006"/>
    <n v="63816.66"/>
    <n v="728"/>
    <x v="1"/>
    <x v="1"/>
    <n v="0"/>
    <s v="N/A"/>
    <s v="Credit Only"/>
    <n v="70887.17"/>
    <n v="4"/>
    <n v="3818.73"/>
    <n v="18.2"/>
    <x v="0"/>
    <x v="2"/>
    <x v="2"/>
    <n v="10"/>
    <x v="0"/>
  </r>
  <r>
    <x v="51"/>
    <n v="67"/>
    <s v="Female"/>
    <s v="Married"/>
    <x v="0"/>
    <s v="Branch-Riverside"/>
    <s v="Business Owner"/>
    <s v="2020-10-03"/>
    <n v="5.7"/>
    <x v="4"/>
    <n v="1"/>
    <n v="0"/>
    <n v="28279.58"/>
    <n v="560"/>
    <x v="4"/>
    <x v="3"/>
    <n v="781220.92"/>
    <s v="Active"/>
    <s v="Credit Only"/>
    <n v="204844.54"/>
    <n v="20"/>
    <n v="515.98"/>
    <n v="69.8"/>
    <x v="0"/>
    <x v="1"/>
    <x v="3"/>
    <n v="232"/>
    <x v="0"/>
  </r>
  <r>
    <x v="52"/>
    <n v="35"/>
    <s v="Male"/>
    <s v="Single"/>
    <x v="3"/>
    <s v="Branch-Northgate"/>
    <s v="Freelancer"/>
    <s v="2025-08-25"/>
    <n v="0.8"/>
    <x v="2"/>
    <n v="4"/>
    <n v="127478.81"/>
    <n v="26191.82"/>
    <n v="686"/>
    <x v="1"/>
    <x v="3"/>
    <n v="1022177.81"/>
    <s v="Active"/>
    <s v="None"/>
    <n v="0"/>
    <n v="11"/>
    <n v="1726.67"/>
    <n v="52.8"/>
    <x v="0"/>
    <x v="3"/>
    <x v="2"/>
    <n v="183"/>
    <x v="0"/>
  </r>
  <r>
    <x v="53"/>
    <n v="28"/>
    <s v="Female"/>
    <s v="Divorced"/>
    <x v="2"/>
    <s v="Branch-Eastwood"/>
    <s v="Salaried"/>
    <s v="2024-04-28"/>
    <n v="2.2000000000000002"/>
    <x v="2"/>
    <n v="2"/>
    <n v="101276.18"/>
    <n v="63948.27"/>
    <n v="583"/>
    <x v="0"/>
    <x v="0"/>
    <n v="553647.81999999995"/>
    <s v="Closed"/>
    <s v="None"/>
    <n v="0"/>
    <n v="20"/>
    <n v="3246.63"/>
    <n v="63.6"/>
    <x v="2"/>
    <x v="2"/>
    <x v="3"/>
    <n v="347"/>
    <x v="0"/>
  </r>
  <r>
    <x v="54"/>
    <n v="18"/>
    <s v="Male"/>
    <s v="Widowed"/>
    <x v="3"/>
    <s v="Branch-Downtown"/>
    <s v="Retired"/>
    <s v="2025-12-17"/>
    <n v="0.5"/>
    <x v="2"/>
    <n v="3"/>
    <n v="0"/>
    <n v="27064.68"/>
    <n v="589"/>
    <x v="0"/>
    <x v="0"/>
    <n v="1180472.71"/>
    <s v="Active"/>
    <s v="Credit Only"/>
    <n v="373915.91"/>
    <n v="1"/>
    <n v="12922.38"/>
    <n v="77.400000000000006"/>
    <x v="1"/>
    <x v="2"/>
    <x v="1"/>
    <n v="38"/>
    <x v="0"/>
  </r>
  <r>
    <x v="55"/>
    <n v="76"/>
    <s v="Female"/>
    <s v="Single"/>
    <x v="1"/>
    <s v="Branch-Hillcrest"/>
    <s v="Retired"/>
    <s v="2021-05-27"/>
    <n v="5.0999999999999996"/>
    <x v="2"/>
    <n v="1"/>
    <n v="32556.77"/>
    <n v="24582.959999999999"/>
    <n v="686"/>
    <x v="1"/>
    <x v="0"/>
    <n v="1266371.3600000001"/>
    <s v="Closed"/>
    <s v="Debit Only"/>
    <n v="0"/>
    <n v="3"/>
    <n v="882.55"/>
    <n v="3.7"/>
    <x v="0"/>
    <x v="3"/>
    <x v="2"/>
    <n v="340"/>
    <x v="0"/>
  </r>
  <r>
    <x v="56"/>
    <n v="38"/>
    <s v="Female"/>
    <s v="Widowed"/>
    <x v="3"/>
    <s v="Branch-Hillcrest"/>
    <s v="Self-Employed"/>
    <s v="2024-02-26"/>
    <n v="2.2999999999999998"/>
    <x v="3"/>
    <n v="2"/>
    <n v="47799.82"/>
    <n v="53392.39"/>
    <n v="728"/>
    <x v="1"/>
    <x v="5"/>
    <n v="1573087.47"/>
    <s v="Active"/>
    <s v="None"/>
    <n v="0"/>
    <n v="12"/>
    <n v="11505.87"/>
    <n v="4"/>
    <x v="0"/>
    <x v="4"/>
    <x v="1"/>
    <n v="7"/>
    <x v="0"/>
  </r>
  <r>
    <x v="57"/>
    <n v="28"/>
    <s v="Female"/>
    <s v="Single"/>
    <x v="0"/>
    <s v="Branch-Harborview"/>
    <s v="Business Owner"/>
    <s v="2022-04-10"/>
    <n v="4.2"/>
    <x v="0"/>
    <n v="1"/>
    <n v="46096.4"/>
    <n v="40385.94"/>
    <n v="711"/>
    <x v="1"/>
    <x v="0"/>
    <n v="2111864.02"/>
    <s v="Closed"/>
    <s v="Debit Only"/>
    <n v="0"/>
    <n v="1"/>
    <n v="13381.39"/>
    <n v="91.2"/>
    <x v="1"/>
    <x v="1"/>
    <x v="1"/>
    <n v="271"/>
    <x v="0"/>
  </r>
  <r>
    <x v="58"/>
    <n v="47"/>
    <s v="Male"/>
    <s v="Divorced"/>
    <x v="1"/>
    <s v="Branch-Oakridge"/>
    <s v="Business Owner"/>
    <s v="2021-04-30"/>
    <n v="5.2"/>
    <x v="3"/>
    <n v="1"/>
    <n v="0"/>
    <n v="61734.400000000001"/>
    <n v="590"/>
    <x v="0"/>
    <x v="5"/>
    <n v="2040229.83"/>
    <s v="Active"/>
    <s v="Debit Only"/>
    <n v="0"/>
    <n v="10"/>
    <n v="1805.03"/>
    <n v="15.7"/>
    <x v="1"/>
    <x v="3"/>
    <x v="1"/>
    <n v="389"/>
    <x v="1"/>
  </r>
  <r>
    <x v="59"/>
    <n v="57"/>
    <s v="Female"/>
    <s v="Widowed"/>
    <x v="1"/>
    <s v="Branch-Riverside"/>
    <s v="Self-Employed"/>
    <s v="2021-12-28"/>
    <n v="4.5"/>
    <x v="2"/>
    <n v="5"/>
    <n v="30255.68"/>
    <n v="109079.08"/>
    <n v="591"/>
    <x v="0"/>
    <x v="1"/>
    <n v="0"/>
    <s v="N/A"/>
    <s v="Credit Only"/>
    <n v="33801.1"/>
    <n v="26"/>
    <n v="9809.4"/>
    <n v="5.0999999999999996"/>
    <x v="2"/>
    <x v="4"/>
    <x v="0"/>
    <n v="112"/>
    <x v="1"/>
  </r>
  <r>
    <x v="60"/>
    <n v="55"/>
    <s v="Female"/>
    <s v="Divorced"/>
    <x v="1"/>
    <s v="Branch-Oakridge"/>
    <s v="Self-Employed"/>
    <s v="2018-08-30"/>
    <n v="7.8"/>
    <x v="0"/>
    <n v="3"/>
    <n v="158919.06"/>
    <n v="8000"/>
    <n v="730"/>
    <x v="1"/>
    <x v="1"/>
    <n v="0"/>
    <s v="N/A"/>
    <s v="Debit Only"/>
    <n v="0"/>
    <n v="39"/>
    <n v="1720.73"/>
    <n v="39.1"/>
    <x v="1"/>
    <x v="4"/>
    <x v="4"/>
    <n v="62"/>
    <x v="0"/>
  </r>
  <r>
    <x v="61"/>
    <n v="31"/>
    <s v="Male"/>
    <s v="Single"/>
    <x v="0"/>
    <s v="Branch-Harborview"/>
    <s v="Self-Employed"/>
    <s v="2023-09-19"/>
    <n v="2.8"/>
    <x v="1"/>
    <n v="1"/>
    <n v="24757.19"/>
    <n v="88602.59"/>
    <n v="679"/>
    <x v="1"/>
    <x v="5"/>
    <n v="1709347.93"/>
    <s v="Active"/>
    <s v="Both"/>
    <n v="463702.66"/>
    <n v="32"/>
    <n v="8515.42"/>
    <n v="54.7"/>
    <x v="0"/>
    <x v="2"/>
    <x v="2"/>
    <n v="202"/>
    <x v="0"/>
  </r>
  <r>
    <x v="62"/>
    <n v="72"/>
    <s v="Male"/>
    <s v="Widowed"/>
    <x v="2"/>
    <s v="Branch-Westfield"/>
    <s v="Student"/>
    <s v="2023-05-16"/>
    <n v="3.1"/>
    <x v="1"/>
    <n v="4"/>
    <n v="0"/>
    <n v="35237.78"/>
    <n v="515"/>
    <x v="4"/>
    <x v="1"/>
    <n v="0"/>
    <s v="N/A"/>
    <s v="Credit Only"/>
    <n v="313700.13"/>
    <n v="0"/>
    <n v="1990.22"/>
    <n v="43.6"/>
    <x v="0"/>
    <x v="4"/>
    <x v="0"/>
    <n v="297"/>
    <x v="0"/>
  </r>
  <r>
    <x v="63"/>
    <n v="47"/>
    <s v="Female"/>
    <s v="Single"/>
    <x v="2"/>
    <s v="Branch-Hillcrest"/>
    <s v="Freelancer"/>
    <s v="2021-03-19"/>
    <n v="5.3"/>
    <x v="4"/>
    <n v="3"/>
    <n v="53421.89"/>
    <n v="26563.72"/>
    <n v="671"/>
    <x v="1"/>
    <x v="1"/>
    <n v="0"/>
    <s v="N/A"/>
    <s v="Debit Only"/>
    <n v="0"/>
    <n v="58"/>
    <n v="13137.29"/>
    <n v="91.2"/>
    <x v="0"/>
    <x v="3"/>
    <x v="1"/>
    <n v="46"/>
    <x v="0"/>
  </r>
  <r>
    <x v="64"/>
    <n v="28"/>
    <s v="Female"/>
    <s v="Single"/>
    <x v="3"/>
    <s v="Branch-Eastwood"/>
    <s v="Self-Employed"/>
    <s v="2021-11-19"/>
    <n v="4.5999999999999996"/>
    <x v="4"/>
    <n v="3"/>
    <n v="39807.120000000003"/>
    <n v="19454.78"/>
    <n v="439"/>
    <x v="4"/>
    <x v="4"/>
    <n v="2159583.69"/>
    <s v="Active"/>
    <s v="Both"/>
    <n v="115430.27"/>
    <n v="19"/>
    <n v="10651.87"/>
    <n v="52.3"/>
    <x v="0"/>
    <x v="2"/>
    <x v="2"/>
    <n v="191"/>
    <x v="0"/>
  </r>
  <r>
    <x v="65"/>
    <n v="24"/>
    <s v="Male"/>
    <s v="Married"/>
    <x v="2"/>
    <s v="Branch-Lakeview"/>
    <s v="Salaried"/>
    <s v="2020-12-12"/>
    <n v="5.6"/>
    <x v="4"/>
    <n v="3"/>
    <n v="25821.8"/>
    <n v="38018.29"/>
    <n v="839"/>
    <x v="3"/>
    <x v="0"/>
    <n v="1256876.6299999999"/>
    <s v="Closed"/>
    <s v="None"/>
    <n v="0"/>
    <n v="15"/>
    <n v="4823.6499999999996"/>
    <n v="84.5"/>
    <x v="4"/>
    <x v="1"/>
    <x v="1"/>
    <n v="42"/>
    <x v="0"/>
  </r>
  <r>
    <x v="66"/>
    <n v="39"/>
    <s v="Male"/>
    <s v="Single"/>
    <x v="3"/>
    <s v="Branch-Northgate"/>
    <s v="Self-Employed"/>
    <s v="2025-03-25"/>
    <n v="1.3"/>
    <x v="0"/>
    <n v="5"/>
    <n v="65720.44"/>
    <n v="31954.12"/>
    <n v="630"/>
    <x v="0"/>
    <x v="5"/>
    <n v="2253441.9500000002"/>
    <s v="Active"/>
    <s v="Credit Only"/>
    <n v="402097.15"/>
    <n v="28"/>
    <n v="5432.93"/>
    <n v="98.8"/>
    <x v="0"/>
    <x v="1"/>
    <x v="2"/>
    <n v="96"/>
    <x v="1"/>
  </r>
  <r>
    <x v="67"/>
    <n v="73"/>
    <s v="Male"/>
    <s v="Single"/>
    <x v="4"/>
    <s v="Branch-Oakridge"/>
    <s v="Business Owner"/>
    <s v="2020-10-25"/>
    <n v="5.7"/>
    <x v="1"/>
    <n v="5"/>
    <n v="112677.45"/>
    <n v="73546.740000000005"/>
    <n v="772"/>
    <x v="2"/>
    <x v="1"/>
    <n v="0"/>
    <s v="N/A"/>
    <s v="Debit Only"/>
    <n v="0"/>
    <n v="2"/>
    <n v="10117.5"/>
    <n v="69.5"/>
    <x v="1"/>
    <x v="1"/>
    <x v="1"/>
    <n v="362"/>
    <x v="0"/>
  </r>
  <r>
    <x v="68"/>
    <n v="30"/>
    <s v="Female"/>
    <s v="Single"/>
    <x v="1"/>
    <s v="Branch-Eastwood"/>
    <s v="Retired"/>
    <s v="2020-08-21"/>
    <n v="5.9"/>
    <x v="0"/>
    <n v="3"/>
    <n v="73598.89"/>
    <n v="50500.88"/>
    <n v="720"/>
    <x v="1"/>
    <x v="2"/>
    <n v="97172.18"/>
    <s v="Active"/>
    <s v="Debit Only"/>
    <n v="0"/>
    <n v="43"/>
    <n v="3832.52"/>
    <n v="27.6"/>
    <x v="1"/>
    <x v="4"/>
    <x v="1"/>
    <n v="0"/>
    <x v="0"/>
  </r>
  <r>
    <x v="69"/>
    <n v="73"/>
    <s v="Male"/>
    <s v="Widowed"/>
    <x v="2"/>
    <s v="Branch-Hillcrest"/>
    <s v="Retired"/>
    <s v="2019-10-13"/>
    <n v="6.7"/>
    <x v="4"/>
    <n v="5"/>
    <n v="92588.22"/>
    <n v="37610.120000000003"/>
    <n v="737"/>
    <x v="1"/>
    <x v="3"/>
    <n v="396142.47"/>
    <s v="Closed"/>
    <s v="Both"/>
    <n v="117007.8"/>
    <n v="44"/>
    <n v="1421.24"/>
    <n v="74.900000000000006"/>
    <x v="0"/>
    <x v="0"/>
    <x v="4"/>
    <n v="306"/>
    <x v="0"/>
  </r>
  <r>
    <x v="70"/>
    <n v="65"/>
    <s v="Male"/>
    <s v="Divorced"/>
    <x v="1"/>
    <s v="Branch-Oakridge"/>
    <s v="Salaried"/>
    <s v="2025-04-18"/>
    <n v="1.2"/>
    <x v="1"/>
    <n v="3"/>
    <n v="157352.03"/>
    <n v="76651.520000000004"/>
    <n v="795"/>
    <x v="2"/>
    <x v="2"/>
    <n v="939786.2"/>
    <s v="Active"/>
    <s v="None"/>
    <n v="0"/>
    <n v="37"/>
    <n v="2748.42"/>
    <n v="65.8"/>
    <x v="0"/>
    <x v="4"/>
    <x v="0"/>
    <n v="26"/>
    <x v="0"/>
  </r>
  <r>
    <x v="71"/>
    <n v="52"/>
    <s v="Female"/>
    <s v="Widowed"/>
    <x v="3"/>
    <s v="Branch-Downtown"/>
    <s v="Student"/>
    <s v="2021-06-12"/>
    <n v="5.0999999999999996"/>
    <x v="1"/>
    <n v="2"/>
    <n v="100617.64"/>
    <n v="8000"/>
    <n v="676"/>
    <x v="1"/>
    <x v="5"/>
    <n v="1842272.02"/>
    <s v="Active"/>
    <s v="Both"/>
    <n v="69035.899999999994"/>
    <n v="50"/>
    <n v="9917.86"/>
    <n v="33.9"/>
    <x v="0"/>
    <x v="0"/>
    <x v="1"/>
    <n v="140"/>
    <x v="0"/>
  </r>
  <r>
    <x v="72"/>
    <n v="39"/>
    <s v="Female"/>
    <s v="Widowed"/>
    <x v="3"/>
    <s v="Branch-Greenfield"/>
    <s v="Business Owner"/>
    <s v="2021-06-29"/>
    <n v="5"/>
    <x v="3"/>
    <n v="5"/>
    <n v="0"/>
    <n v="38408.9"/>
    <n v="747"/>
    <x v="2"/>
    <x v="0"/>
    <n v="1241680.73"/>
    <s v="Closed"/>
    <s v="None"/>
    <n v="0"/>
    <n v="9"/>
    <n v="6139.91"/>
    <n v="53.8"/>
    <x v="0"/>
    <x v="0"/>
    <x v="1"/>
    <n v="63"/>
    <x v="0"/>
  </r>
  <r>
    <x v="73"/>
    <n v="66"/>
    <s v="Male"/>
    <s v="Married"/>
    <x v="3"/>
    <s v="Branch-Hillcrest"/>
    <s v="Retired"/>
    <s v="2026-05-12"/>
    <n v="0.1"/>
    <x v="0"/>
    <n v="3"/>
    <n v="102235.31"/>
    <n v="33718.69"/>
    <n v="659"/>
    <x v="0"/>
    <x v="3"/>
    <n v="1305996.82"/>
    <s v="Active"/>
    <s v="Debit Only"/>
    <n v="0"/>
    <n v="25"/>
    <n v="10241.549999999999"/>
    <n v="47.2"/>
    <x v="0"/>
    <x v="0"/>
    <x v="4"/>
    <n v="2"/>
    <x v="0"/>
  </r>
  <r>
    <x v="74"/>
    <n v="22"/>
    <s v="Female"/>
    <s v="Married"/>
    <x v="2"/>
    <s v="Branch-Riverside"/>
    <s v="Retired"/>
    <s v="2024-12-25"/>
    <n v="1.5"/>
    <x v="3"/>
    <n v="1"/>
    <n v="93002.74"/>
    <n v="49190.31"/>
    <n v="719"/>
    <x v="1"/>
    <x v="5"/>
    <n v="575884.51"/>
    <s v="Active"/>
    <s v="None"/>
    <n v="0"/>
    <n v="33"/>
    <n v="6602.39"/>
    <n v="75.8"/>
    <x v="0"/>
    <x v="1"/>
    <x v="4"/>
    <n v="323"/>
    <x v="0"/>
  </r>
  <r>
    <x v="75"/>
    <n v="25"/>
    <s v="Female"/>
    <s v="Widowed"/>
    <x v="3"/>
    <s v="Branch-Northgate"/>
    <s v="Business Owner"/>
    <s v="2024-05-23"/>
    <n v="2.1"/>
    <x v="2"/>
    <n v="4"/>
    <n v="42457.9"/>
    <n v="37539.040000000001"/>
    <n v="850"/>
    <x v="3"/>
    <x v="0"/>
    <n v="837103.47"/>
    <s v="Closed"/>
    <s v="Credit Only"/>
    <n v="403486.18"/>
    <n v="18"/>
    <n v="7740.35"/>
    <n v="86.7"/>
    <x v="0"/>
    <x v="3"/>
    <x v="4"/>
    <n v="120"/>
    <x v="0"/>
  </r>
  <r>
    <x v="76"/>
    <n v="78"/>
    <s v="Male"/>
    <s v="Single"/>
    <x v="0"/>
    <s v="Branch-Riverside"/>
    <s v="Business Owner"/>
    <s v="2026-01-12"/>
    <n v="0.5"/>
    <x v="3"/>
    <n v="1"/>
    <n v="108295.09"/>
    <n v="60420.49"/>
    <n v="659"/>
    <x v="0"/>
    <x v="1"/>
    <n v="0"/>
    <s v="N/A"/>
    <s v="Credit Only"/>
    <n v="54723.1"/>
    <n v="56"/>
    <n v="1023.23"/>
    <n v="59.7"/>
    <x v="0"/>
    <x v="2"/>
    <x v="1"/>
    <n v="250"/>
    <x v="1"/>
  </r>
  <r>
    <x v="77"/>
    <n v="25"/>
    <s v="Female"/>
    <s v="Married"/>
    <x v="2"/>
    <s v="Branch-Harborview"/>
    <s v="Salaried"/>
    <s v="2019-04-30"/>
    <n v="7.2"/>
    <x v="0"/>
    <n v="3"/>
    <n v="58513.93"/>
    <n v="82133.38"/>
    <n v="514"/>
    <x v="4"/>
    <x v="1"/>
    <n v="0"/>
    <s v="N/A"/>
    <s v="Both"/>
    <n v="26207"/>
    <n v="11"/>
    <n v="1125.56"/>
    <n v="84.2"/>
    <x v="0"/>
    <x v="2"/>
    <x v="4"/>
    <n v="37"/>
    <x v="1"/>
  </r>
  <r>
    <x v="78"/>
    <n v="29"/>
    <s v="Male"/>
    <s v="Divorced"/>
    <x v="1"/>
    <s v="Branch-Riverside"/>
    <s v="Self-Employed"/>
    <s v="2021-01-05"/>
    <n v="5.5"/>
    <x v="1"/>
    <n v="4"/>
    <n v="0"/>
    <n v="8000"/>
    <n v="626"/>
    <x v="0"/>
    <x v="3"/>
    <n v="458114.35"/>
    <s v="Closed"/>
    <s v="Both"/>
    <n v="181199.78"/>
    <n v="22"/>
    <n v="6197.94"/>
    <n v="89.8"/>
    <x v="2"/>
    <x v="4"/>
    <x v="2"/>
    <n v="340"/>
    <x v="1"/>
  </r>
  <r>
    <x v="79"/>
    <n v="31"/>
    <s v="Male"/>
    <s v="Married"/>
    <x v="4"/>
    <s v="Branch-Eastwood"/>
    <s v="Business Owner"/>
    <s v="2019-11-09"/>
    <n v="6.6"/>
    <x v="2"/>
    <n v="1"/>
    <n v="75419.320000000007"/>
    <n v="46123.65"/>
    <n v="663"/>
    <x v="0"/>
    <x v="1"/>
    <n v="0"/>
    <s v="N/A"/>
    <s v="Both"/>
    <n v="410504.71"/>
    <n v="2"/>
    <n v="14510.66"/>
    <n v="1.4"/>
    <x v="0"/>
    <x v="0"/>
    <x v="1"/>
    <n v="10"/>
    <x v="0"/>
  </r>
  <r>
    <x v="80"/>
    <n v="67"/>
    <s v="Female"/>
    <s v="Single"/>
    <x v="1"/>
    <s v="Branch-Midtown"/>
    <s v="Retired"/>
    <s v="2020-05-10"/>
    <n v="6.1"/>
    <x v="0"/>
    <n v="5"/>
    <n v="0"/>
    <n v="33754.61"/>
    <n v="701"/>
    <x v="1"/>
    <x v="2"/>
    <n v="1780450.44"/>
    <s v="Active"/>
    <s v="Debit Only"/>
    <n v="0"/>
    <n v="59"/>
    <n v="7168.94"/>
    <n v="6"/>
    <x v="0"/>
    <x v="4"/>
    <x v="1"/>
    <n v="120"/>
    <x v="0"/>
  </r>
  <r>
    <x v="81"/>
    <n v="58"/>
    <s v="Female"/>
    <s v="Divorced"/>
    <x v="1"/>
    <s v="Branch-Eastwood"/>
    <s v="Business Owner"/>
    <s v="2025-04-30"/>
    <n v="1.2"/>
    <x v="1"/>
    <n v="3"/>
    <n v="28751.63"/>
    <n v="17936.169999999998"/>
    <n v="694"/>
    <x v="1"/>
    <x v="4"/>
    <n v="1427748.82"/>
    <s v="Closed"/>
    <s v="Credit Only"/>
    <n v="309017.46999999997"/>
    <n v="0"/>
    <n v="5070.6499999999996"/>
    <n v="98"/>
    <x v="2"/>
    <x v="0"/>
    <x v="4"/>
    <n v="56"/>
    <x v="0"/>
  </r>
  <r>
    <x v="82"/>
    <n v="65"/>
    <s v="Female"/>
    <s v="Single"/>
    <x v="2"/>
    <s v="Branch-Northgate"/>
    <s v="Retired"/>
    <s v="2025-01-30"/>
    <n v="1.4"/>
    <x v="2"/>
    <n v="4"/>
    <n v="0"/>
    <n v="59950.95"/>
    <n v="850"/>
    <x v="3"/>
    <x v="5"/>
    <n v="2205148.38"/>
    <s v="Active"/>
    <s v="Both"/>
    <n v="59368.73"/>
    <n v="17"/>
    <n v="5210.21"/>
    <n v="39.4"/>
    <x v="1"/>
    <x v="1"/>
    <x v="1"/>
    <n v="192"/>
    <x v="0"/>
  </r>
  <r>
    <x v="83"/>
    <n v="37"/>
    <s v="Male"/>
    <s v="Divorced"/>
    <x v="1"/>
    <s v="Branch-Harborview"/>
    <s v="Salaried"/>
    <s v="2020-04-02"/>
    <n v="6.2"/>
    <x v="0"/>
    <n v="4"/>
    <n v="11998.75"/>
    <n v="45318.74"/>
    <n v="688"/>
    <x v="1"/>
    <x v="1"/>
    <n v="0"/>
    <s v="N/A"/>
    <s v="None"/>
    <n v="0"/>
    <n v="52"/>
    <n v="10702.5"/>
    <n v="59.8"/>
    <x v="0"/>
    <x v="4"/>
    <x v="2"/>
    <n v="393"/>
    <x v="0"/>
  </r>
  <r>
    <x v="84"/>
    <n v="69"/>
    <s v="Female"/>
    <s v="Widowed"/>
    <x v="1"/>
    <s v="Branch-Eastwood"/>
    <s v="Business Owner"/>
    <s v="2024-05-30"/>
    <n v="2.1"/>
    <x v="0"/>
    <n v="1"/>
    <n v="137026.44"/>
    <n v="51473.8"/>
    <n v="832"/>
    <x v="3"/>
    <x v="2"/>
    <n v="1620916.8"/>
    <s v="Active"/>
    <s v="Both"/>
    <n v="105642.24000000001"/>
    <n v="0"/>
    <n v="10691.13"/>
    <n v="55.9"/>
    <x v="3"/>
    <x v="2"/>
    <x v="1"/>
    <n v="373"/>
    <x v="0"/>
  </r>
  <r>
    <x v="85"/>
    <n v="20"/>
    <s v="Female"/>
    <s v="Married"/>
    <x v="0"/>
    <s v="Branch-Hillcrest"/>
    <s v="Salaried"/>
    <s v="2018-08-08"/>
    <n v="7.9"/>
    <x v="2"/>
    <n v="2"/>
    <n v="29087.4"/>
    <n v="17300.78"/>
    <n v="690"/>
    <x v="1"/>
    <x v="1"/>
    <n v="0"/>
    <s v="N/A"/>
    <s v="Both"/>
    <n v="417959.28"/>
    <n v="60"/>
    <n v="3641.21"/>
    <n v="24.7"/>
    <x v="0"/>
    <x v="3"/>
    <x v="3"/>
    <n v="322"/>
    <x v="0"/>
  </r>
  <r>
    <x v="86"/>
    <n v="48"/>
    <s v="Female"/>
    <s v="Divorced"/>
    <x v="3"/>
    <s v="Branch-Lakeview"/>
    <s v="Salaried"/>
    <s v="2021-01-03"/>
    <n v="5.5"/>
    <x v="1"/>
    <n v="4"/>
    <n v="24288.5"/>
    <n v="39334.800000000003"/>
    <n v="721"/>
    <x v="1"/>
    <x v="1"/>
    <n v="0"/>
    <s v="N/A"/>
    <s v="Debit Only"/>
    <n v="0"/>
    <n v="59"/>
    <n v="6745.3"/>
    <n v="5.8"/>
    <x v="0"/>
    <x v="0"/>
    <x v="0"/>
    <n v="115"/>
    <x v="0"/>
  </r>
  <r>
    <x v="87"/>
    <n v="73"/>
    <s v="Male"/>
    <s v="Widowed"/>
    <x v="0"/>
    <s v="Branch-Hillcrest"/>
    <s v="Self-Employed"/>
    <s v="2023-10-01"/>
    <n v="2.7"/>
    <x v="1"/>
    <n v="5"/>
    <n v="32018.67"/>
    <n v="91822.31"/>
    <n v="719"/>
    <x v="1"/>
    <x v="3"/>
    <n v="2159475"/>
    <s v="Active"/>
    <s v="None"/>
    <n v="0"/>
    <n v="49"/>
    <n v="12127.51"/>
    <n v="68.2"/>
    <x v="0"/>
    <x v="4"/>
    <x v="1"/>
    <n v="76"/>
    <x v="0"/>
  </r>
  <r>
    <x v="88"/>
    <n v="45"/>
    <s v="Female"/>
    <s v="Widowed"/>
    <x v="1"/>
    <s v="Branch-Northgate"/>
    <s v="Salaried"/>
    <s v="2026-03-31"/>
    <n v="0.2"/>
    <x v="4"/>
    <n v="2"/>
    <n v="44329.73"/>
    <n v="57566.559999999998"/>
    <n v="631"/>
    <x v="0"/>
    <x v="1"/>
    <n v="0"/>
    <s v="N/A"/>
    <s v="Credit Only"/>
    <n v="163662.78"/>
    <n v="52"/>
    <n v="5234.0600000000004"/>
    <n v="25.6"/>
    <x v="0"/>
    <x v="0"/>
    <x v="2"/>
    <n v="356"/>
    <x v="1"/>
  </r>
  <r>
    <x v="89"/>
    <n v="76"/>
    <s v="Female"/>
    <s v="Widowed"/>
    <x v="1"/>
    <s v="Branch-Harborview"/>
    <s v="Self-Employed"/>
    <s v="2019-04-09"/>
    <n v="7.2"/>
    <x v="4"/>
    <n v="4"/>
    <n v="108798.42"/>
    <n v="60949.26"/>
    <n v="553"/>
    <x v="4"/>
    <x v="4"/>
    <n v="1961494.46"/>
    <s v="Active"/>
    <s v="None"/>
    <n v="0"/>
    <n v="8"/>
    <n v="3736.19"/>
    <n v="34.799999999999997"/>
    <x v="0"/>
    <x v="4"/>
    <x v="1"/>
    <n v="180"/>
    <x v="0"/>
  </r>
  <r>
    <x v="90"/>
    <n v="21"/>
    <s v="Female"/>
    <s v="Widowed"/>
    <x v="3"/>
    <s v="Branch-Hillcrest"/>
    <s v="Freelancer"/>
    <s v="2018-06-01"/>
    <n v="8.1"/>
    <x v="1"/>
    <n v="5"/>
    <n v="83663.520000000004"/>
    <n v="75235.850000000006"/>
    <n v="585"/>
    <x v="0"/>
    <x v="1"/>
    <n v="0"/>
    <s v="N/A"/>
    <s v="Debit Only"/>
    <n v="0"/>
    <n v="38"/>
    <n v="9236.69"/>
    <n v="23.3"/>
    <x v="0"/>
    <x v="3"/>
    <x v="0"/>
    <n v="261"/>
    <x v="0"/>
  </r>
  <r>
    <x v="91"/>
    <n v="31"/>
    <s v="Female"/>
    <s v="Widowed"/>
    <x v="4"/>
    <s v="Branch-Harborview"/>
    <s v="Freelancer"/>
    <s v="2023-09-16"/>
    <n v="2.8"/>
    <x v="1"/>
    <n v="1"/>
    <n v="0"/>
    <n v="11059.73"/>
    <n v="716"/>
    <x v="1"/>
    <x v="4"/>
    <n v="1278286.3600000001"/>
    <s v="Closed"/>
    <s v="Credit Only"/>
    <n v="267794.76"/>
    <n v="58"/>
    <n v="8710.5400000000009"/>
    <n v="24"/>
    <x v="2"/>
    <x v="2"/>
    <x v="1"/>
    <n v="291"/>
    <x v="0"/>
  </r>
  <r>
    <x v="92"/>
    <n v="21"/>
    <s v="Male"/>
    <s v="Divorced"/>
    <x v="4"/>
    <s v="Branch-Greenfield"/>
    <s v="Student"/>
    <s v="2019-06-19"/>
    <n v="7"/>
    <x v="1"/>
    <n v="2"/>
    <n v="27213.77"/>
    <n v="70066.399999999994"/>
    <n v="692"/>
    <x v="1"/>
    <x v="5"/>
    <n v="1017360.42"/>
    <s v="Active"/>
    <s v="Debit Only"/>
    <n v="0"/>
    <n v="7"/>
    <n v="3273.55"/>
    <n v="54.6"/>
    <x v="0"/>
    <x v="0"/>
    <x v="1"/>
    <n v="341"/>
    <x v="0"/>
  </r>
  <r>
    <x v="93"/>
    <n v="61"/>
    <s v="Male"/>
    <s v="Widowed"/>
    <x v="3"/>
    <s v="Branch-Downtown"/>
    <s v="Freelancer"/>
    <s v="2022-01-31"/>
    <n v="4.4000000000000004"/>
    <x v="0"/>
    <n v="5"/>
    <n v="115463.17"/>
    <n v="55035.44"/>
    <n v="628"/>
    <x v="0"/>
    <x v="3"/>
    <n v="2494700.2400000002"/>
    <s v="Closed"/>
    <s v="None"/>
    <n v="0"/>
    <n v="2"/>
    <n v="13833.02"/>
    <n v="37.200000000000003"/>
    <x v="1"/>
    <x v="1"/>
    <x v="1"/>
    <n v="225"/>
    <x v="0"/>
  </r>
  <r>
    <x v="94"/>
    <n v="71"/>
    <s v="Male"/>
    <s v="Divorced"/>
    <x v="2"/>
    <s v="Branch-Lakeview"/>
    <s v="Freelancer"/>
    <s v="2019-03-25"/>
    <n v="7.3"/>
    <x v="1"/>
    <n v="1"/>
    <n v="3953.86"/>
    <n v="40658.36"/>
    <n v="668"/>
    <x v="0"/>
    <x v="1"/>
    <n v="0"/>
    <s v="N/A"/>
    <s v="None"/>
    <n v="0"/>
    <n v="11"/>
    <n v="2267.3200000000002"/>
    <n v="19.2"/>
    <x v="1"/>
    <x v="3"/>
    <x v="0"/>
    <n v="30"/>
    <x v="0"/>
  </r>
  <r>
    <x v="95"/>
    <n v="34"/>
    <s v="Female"/>
    <s v="Married"/>
    <x v="3"/>
    <s v="Branch-Oakridge"/>
    <s v="Student"/>
    <s v="2020-09-26"/>
    <n v="5.8"/>
    <x v="0"/>
    <n v="5"/>
    <n v="33249.99"/>
    <n v="68518.55"/>
    <n v="622"/>
    <x v="0"/>
    <x v="5"/>
    <n v="703216.93"/>
    <s v="Closed"/>
    <s v="None"/>
    <n v="0"/>
    <n v="53"/>
    <n v="10378.4"/>
    <n v="76.2"/>
    <x v="1"/>
    <x v="0"/>
    <x v="1"/>
    <n v="188"/>
    <x v="1"/>
  </r>
  <r>
    <x v="96"/>
    <n v="23"/>
    <s v="Female"/>
    <s v="Single"/>
    <x v="0"/>
    <s v="Branch-Lakeview"/>
    <s v="Self-Employed"/>
    <s v="2019-05-27"/>
    <n v="7.1"/>
    <x v="2"/>
    <n v="2"/>
    <n v="24494.77"/>
    <n v="65379.64"/>
    <n v="722"/>
    <x v="1"/>
    <x v="1"/>
    <n v="0"/>
    <s v="N/A"/>
    <s v="Both"/>
    <n v="409548.58"/>
    <n v="45"/>
    <n v="13362.81"/>
    <n v="80.599999999999994"/>
    <x v="0"/>
    <x v="1"/>
    <x v="4"/>
    <n v="163"/>
    <x v="0"/>
  </r>
  <r>
    <x v="97"/>
    <n v="63"/>
    <s v="Male"/>
    <s v="Married"/>
    <x v="2"/>
    <s v="Branch-Hillcrest"/>
    <s v="Salaried"/>
    <s v="2024-01-26"/>
    <n v="2.4"/>
    <x v="1"/>
    <n v="1"/>
    <n v="125559.87"/>
    <n v="55776.54"/>
    <n v="626"/>
    <x v="0"/>
    <x v="4"/>
    <n v="900691.6"/>
    <s v="Active"/>
    <s v="Both"/>
    <n v="486472.87"/>
    <n v="55"/>
    <n v="9245.39"/>
    <n v="13.7"/>
    <x v="0"/>
    <x v="1"/>
    <x v="0"/>
    <n v="171"/>
    <x v="0"/>
  </r>
  <r>
    <x v="98"/>
    <n v="67"/>
    <s v="Female"/>
    <s v="Single"/>
    <x v="2"/>
    <s v="Branch-Riverside"/>
    <s v="Retired"/>
    <s v="2022-03-23"/>
    <n v="4.3"/>
    <x v="1"/>
    <n v="4"/>
    <n v="86032.57"/>
    <n v="44613.22"/>
    <n v="689"/>
    <x v="1"/>
    <x v="1"/>
    <n v="0"/>
    <s v="N/A"/>
    <s v="Credit Only"/>
    <n v="339319.23"/>
    <n v="37"/>
    <n v="13206.18"/>
    <n v="80"/>
    <x v="2"/>
    <x v="0"/>
    <x v="3"/>
    <n v="305"/>
    <x v="1"/>
  </r>
  <r>
    <x v="99"/>
    <n v="49"/>
    <s v="Male"/>
    <s v="Divorced"/>
    <x v="3"/>
    <s v="Branch-Eastwood"/>
    <s v="Business Owner"/>
    <s v="2022-01-21"/>
    <n v="4.4000000000000004"/>
    <x v="0"/>
    <n v="5"/>
    <n v="56338.82"/>
    <n v="8000"/>
    <n v="727"/>
    <x v="1"/>
    <x v="2"/>
    <n v="1241660.8400000001"/>
    <s v="Defaulted"/>
    <s v="Both"/>
    <n v="425073.32"/>
    <n v="34"/>
    <n v="6690.64"/>
    <n v="84.5"/>
    <x v="0"/>
    <x v="4"/>
    <x v="0"/>
    <n v="374"/>
    <x v="0"/>
  </r>
  <r>
    <x v="100"/>
    <n v="71"/>
    <s v="Female"/>
    <s v="Widowed"/>
    <x v="3"/>
    <s v="Branch-Hillcrest"/>
    <s v="Retired"/>
    <s v="2021-09-27"/>
    <n v="4.8"/>
    <x v="4"/>
    <n v="2"/>
    <n v="0"/>
    <n v="47635.58"/>
    <n v="837"/>
    <x v="3"/>
    <x v="4"/>
    <n v="2488308.81"/>
    <s v="Active"/>
    <s v="Debit Only"/>
    <n v="0"/>
    <n v="52"/>
    <n v="10131.02"/>
    <n v="17"/>
    <x v="0"/>
    <x v="4"/>
    <x v="1"/>
    <n v="190"/>
    <x v="0"/>
  </r>
  <r>
    <x v="101"/>
    <n v="74"/>
    <s v="Female"/>
    <s v="Divorced"/>
    <x v="1"/>
    <s v="Branch-Riverside"/>
    <s v="Freelancer"/>
    <s v="2024-10-17"/>
    <n v="1.7"/>
    <x v="4"/>
    <n v="5"/>
    <n v="50574.09"/>
    <n v="13116.52"/>
    <n v="579"/>
    <x v="4"/>
    <x v="0"/>
    <n v="1087682.83"/>
    <s v="Active"/>
    <s v="Debit Only"/>
    <n v="0"/>
    <n v="50"/>
    <n v="1225.03"/>
    <n v="51.3"/>
    <x v="0"/>
    <x v="4"/>
    <x v="1"/>
    <n v="183"/>
    <x v="0"/>
  </r>
  <r>
    <x v="102"/>
    <n v="63"/>
    <s v="Male"/>
    <s v="Single"/>
    <x v="4"/>
    <s v="Branch-Westfield"/>
    <s v="Student"/>
    <s v="2018-10-31"/>
    <n v="7.7"/>
    <x v="0"/>
    <n v="2"/>
    <n v="0"/>
    <n v="8000"/>
    <n v="656"/>
    <x v="0"/>
    <x v="1"/>
    <n v="0"/>
    <s v="N/A"/>
    <s v="None"/>
    <n v="0"/>
    <n v="14"/>
    <n v="9815.0300000000007"/>
    <n v="11.8"/>
    <x v="0"/>
    <x v="4"/>
    <x v="2"/>
    <n v="295"/>
    <x v="0"/>
  </r>
  <r>
    <x v="103"/>
    <n v="29"/>
    <s v="Female"/>
    <s v="Married"/>
    <x v="2"/>
    <s v="Branch-Southpark"/>
    <s v="Freelancer"/>
    <s v="2026-02-03"/>
    <n v="0.4"/>
    <x v="2"/>
    <n v="4"/>
    <n v="127672.53"/>
    <n v="16120.46"/>
    <n v="810"/>
    <x v="3"/>
    <x v="1"/>
    <n v="0"/>
    <s v="N/A"/>
    <s v="Debit Only"/>
    <n v="0"/>
    <n v="43"/>
    <n v="9988.4500000000007"/>
    <n v="47.7"/>
    <x v="0"/>
    <x v="1"/>
    <x v="3"/>
    <n v="174"/>
    <x v="1"/>
  </r>
  <r>
    <x v="104"/>
    <n v="48"/>
    <s v="Male"/>
    <s v="Married"/>
    <x v="2"/>
    <s v="Branch-Midtown"/>
    <s v="Business Owner"/>
    <s v="2026-05-13"/>
    <n v="0.1"/>
    <x v="4"/>
    <n v="1"/>
    <n v="17003.73"/>
    <n v="49011.199999999997"/>
    <n v="517"/>
    <x v="4"/>
    <x v="1"/>
    <n v="0"/>
    <s v="N/A"/>
    <s v="None"/>
    <n v="0"/>
    <n v="45"/>
    <n v="2516.83"/>
    <n v="61.2"/>
    <x v="4"/>
    <x v="0"/>
    <x v="4"/>
    <n v="151"/>
    <x v="0"/>
  </r>
  <r>
    <x v="105"/>
    <n v="33"/>
    <s v="Female"/>
    <s v="Single"/>
    <x v="0"/>
    <s v="Branch-Eastwood"/>
    <s v="Freelancer"/>
    <s v="2023-06-09"/>
    <n v="3.1"/>
    <x v="2"/>
    <n v="4"/>
    <n v="0"/>
    <n v="70507.83"/>
    <n v="627"/>
    <x v="0"/>
    <x v="1"/>
    <n v="0"/>
    <s v="N/A"/>
    <s v="Debit Only"/>
    <n v="0"/>
    <n v="18"/>
    <n v="13708.59"/>
    <n v="13.8"/>
    <x v="0"/>
    <x v="4"/>
    <x v="1"/>
    <n v="328"/>
    <x v="0"/>
  </r>
  <r>
    <x v="106"/>
    <n v="43"/>
    <s v="Female"/>
    <s v="Married"/>
    <x v="0"/>
    <s v="Branch-Hillcrest"/>
    <s v="Salaried"/>
    <s v="2018-12-09"/>
    <n v="7.6"/>
    <x v="4"/>
    <n v="1"/>
    <n v="52652.6"/>
    <n v="44834.91"/>
    <n v="725"/>
    <x v="1"/>
    <x v="2"/>
    <n v="595245.72"/>
    <s v="Closed"/>
    <s v="Both"/>
    <n v="149824.94"/>
    <n v="24"/>
    <n v="7051.64"/>
    <n v="92"/>
    <x v="0"/>
    <x v="4"/>
    <x v="4"/>
    <n v="81"/>
    <x v="0"/>
  </r>
  <r>
    <x v="107"/>
    <n v="63"/>
    <s v="Male"/>
    <s v="Divorced"/>
    <x v="1"/>
    <s v="Branch-Hillcrest"/>
    <s v="Self-Employed"/>
    <s v="2025-02-23"/>
    <n v="1.3"/>
    <x v="2"/>
    <n v="5"/>
    <n v="49297.74"/>
    <n v="8000"/>
    <n v="666"/>
    <x v="0"/>
    <x v="4"/>
    <n v="1843645.38"/>
    <s v="Closed"/>
    <s v="Credit Only"/>
    <n v="88284.04"/>
    <n v="58"/>
    <n v="4743.7299999999996"/>
    <n v="50.2"/>
    <x v="0"/>
    <x v="0"/>
    <x v="3"/>
    <n v="37"/>
    <x v="0"/>
  </r>
  <r>
    <x v="108"/>
    <n v="43"/>
    <s v="Male"/>
    <s v="Single"/>
    <x v="3"/>
    <s v="Branch-Harborview"/>
    <s v="Salaried"/>
    <s v="2021-07-10"/>
    <n v="5"/>
    <x v="0"/>
    <n v="1"/>
    <n v="1682.15"/>
    <n v="47475.28"/>
    <n v="798"/>
    <x v="2"/>
    <x v="1"/>
    <n v="0"/>
    <s v="N/A"/>
    <s v="Both"/>
    <n v="415899.75"/>
    <n v="33"/>
    <n v="8196.3799999999992"/>
    <n v="93.2"/>
    <x v="1"/>
    <x v="3"/>
    <x v="0"/>
    <n v="145"/>
    <x v="0"/>
  </r>
  <r>
    <x v="109"/>
    <n v="78"/>
    <s v="Female"/>
    <s v="Widowed"/>
    <x v="1"/>
    <s v="Branch-Harborview"/>
    <s v="Student"/>
    <s v="2024-10-02"/>
    <n v="1.7"/>
    <x v="2"/>
    <n v="5"/>
    <n v="0"/>
    <n v="42079.94"/>
    <n v="728"/>
    <x v="1"/>
    <x v="2"/>
    <n v="1350821.83"/>
    <s v="Active"/>
    <s v="Debit Only"/>
    <n v="0"/>
    <n v="24"/>
    <n v="13017.68"/>
    <n v="36.1"/>
    <x v="2"/>
    <x v="0"/>
    <x v="3"/>
    <n v="341"/>
    <x v="0"/>
  </r>
  <r>
    <x v="110"/>
    <n v="62"/>
    <s v="Male"/>
    <s v="Widowed"/>
    <x v="3"/>
    <s v="Branch-Eastwood"/>
    <s v="Freelancer"/>
    <s v="2022-12-04"/>
    <n v="3.6"/>
    <x v="1"/>
    <n v="4"/>
    <n v="101961.79"/>
    <n v="46803.839999999997"/>
    <n v="533"/>
    <x v="4"/>
    <x v="4"/>
    <n v="641673.09"/>
    <s v="Closed"/>
    <s v="Both"/>
    <n v="139825.24"/>
    <n v="40"/>
    <n v="1720.35"/>
    <n v="24.3"/>
    <x v="1"/>
    <x v="3"/>
    <x v="1"/>
    <n v="99"/>
    <x v="0"/>
  </r>
  <r>
    <x v="111"/>
    <n v="66"/>
    <s v="Male"/>
    <s v="Widowed"/>
    <x v="1"/>
    <s v="Branch-Harborview"/>
    <s v="Retired"/>
    <s v="2019-08-10"/>
    <n v="6.9"/>
    <x v="4"/>
    <n v="5"/>
    <n v="101587.29"/>
    <n v="17868.330000000002"/>
    <n v="750"/>
    <x v="2"/>
    <x v="3"/>
    <n v="1081487.42"/>
    <s v="Active"/>
    <s v="Credit Only"/>
    <n v="32857.660000000003"/>
    <n v="9"/>
    <n v="2426.89"/>
    <n v="32.9"/>
    <x v="2"/>
    <x v="4"/>
    <x v="1"/>
    <n v="247"/>
    <x v="0"/>
  </r>
  <r>
    <x v="112"/>
    <n v="46"/>
    <s v="Female"/>
    <s v="Married"/>
    <x v="0"/>
    <s v="Branch-Oakridge"/>
    <s v="Student"/>
    <s v="2021-02-23"/>
    <n v="5.4"/>
    <x v="1"/>
    <n v="3"/>
    <n v="84105.32"/>
    <n v="92120.53"/>
    <n v="647"/>
    <x v="0"/>
    <x v="0"/>
    <n v="468304.21"/>
    <s v="Active"/>
    <s v="None"/>
    <n v="0"/>
    <n v="43"/>
    <n v="2216.06"/>
    <n v="85.1"/>
    <x v="0"/>
    <x v="1"/>
    <x v="3"/>
    <n v="398"/>
    <x v="0"/>
  </r>
  <r>
    <x v="113"/>
    <n v="58"/>
    <s v="Female"/>
    <s v="Divorced"/>
    <x v="1"/>
    <s v="Branch-Midtown"/>
    <s v="Freelancer"/>
    <s v="2019-01-01"/>
    <n v="7.5"/>
    <x v="4"/>
    <n v="4"/>
    <n v="67708.88"/>
    <n v="70113.289999999994"/>
    <n v="766"/>
    <x v="2"/>
    <x v="5"/>
    <n v="1349859.76"/>
    <s v="Active"/>
    <s v="Credit Only"/>
    <n v="21172.959999999999"/>
    <n v="39"/>
    <n v="9188.61"/>
    <n v="73.599999999999994"/>
    <x v="0"/>
    <x v="2"/>
    <x v="2"/>
    <n v="253"/>
    <x v="0"/>
  </r>
  <r>
    <x v="114"/>
    <n v="35"/>
    <s v="Male"/>
    <s v="Widowed"/>
    <x v="1"/>
    <s v="Branch-Westfield"/>
    <s v="Business Owner"/>
    <s v="2022-07-03"/>
    <n v="4"/>
    <x v="0"/>
    <n v="5"/>
    <n v="160241.13"/>
    <n v="24673.38"/>
    <n v="604"/>
    <x v="0"/>
    <x v="5"/>
    <n v="1865086.66"/>
    <s v="Active"/>
    <s v="Debit Only"/>
    <n v="0"/>
    <n v="3"/>
    <n v="3767.05"/>
    <n v="82.8"/>
    <x v="1"/>
    <x v="2"/>
    <x v="1"/>
    <n v="155"/>
    <x v="0"/>
  </r>
  <r>
    <x v="115"/>
    <n v="40"/>
    <s v="Female"/>
    <s v="Divorced"/>
    <x v="4"/>
    <s v="Branch-Riverside"/>
    <s v="Freelancer"/>
    <s v="2023-01-23"/>
    <n v="3.4"/>
    <x v="1"/>
    <n v="1"/>
    <n v="169670.11"/>
    <n v="23019.24"/>
    <n v="493"/>
    <x v="4"/>
    <x v="1"/>
    <n v="0"/>
    <s v="N/A"/>
    <s v="Both"/>
    <n v="393156.44"/>
    <n v="32"/>
    <n v="5067.32"/>
    <n v="29"/>
    <x v="1"/>
    <x v="1"/>
    <x v="0"/>
    <n v="350"/>
    <x v="1"/>
  </r>
  <r>
    <x v="116"/>
    <n v="75"/>
    <s v="Male"/>
    <s v="Widowed"/>
    <x v="2"/>
    <s v="Branch-Oakridge"/>
    <s v="Self-Employed"/>
    <s v="2020-11-29"/>
    <n v="5.6"/>
    <x v="1"/>
    <n v="2"/>
    <n v="127123.54"/>
    <n v="30121.18"/>
    <n v="642"/>
    <x v="0"/>
    <x v="4"/>
    <n v="310537.02"/>
    <s v="Closed"/>
    <s v="None"/>
    <n v="0"/>
    <n v="24"/>
    <n v="465.14"/>
    <n v="78.400000000000006"/>
    <x v="2"/>
    <x v="2"/>
    <x v="4"/>
    <n v="87"/>
    <x v="0"/>
  </r>
  <r>
    <x v="117"/>
    <n v="58"/>
    <s v="Male"/>
    <s v="Married"/>
    <x v="2"/>
    <s v="Branch-Hillcrest"/>
    <s v="Retired"/>
    <s v="2020-09-01"/>
    <n v="5.8"/>
    <x v="1"/>
    <n v="2"/>
    <n v="60743.39"/>
    <n v="8000"/>
    <n v="603"/>
    <x v="0"/>
    <x v="5"/>
    <n v="363894.31"/>
    <s v="Active"/>
    <s v="Credit Only"/>
    <n v="169860.34"/>
    <n v="13"/>
    <n v="2023.75"/>
    <n v="72.599999999999994"/>
    <x v="2"/>
    <x v="0"/>
    <x v="2"/>
    <n v="368"/>
    <x v="1"/>
  </r>
  <r>
    <x v="118"/>
    <n v="26"/>
    <s v="Female"/>
    <s v="Single"/>
    <x v="0"/>
    <s v="Branch-Midtown"/>
    <s v="Student"/>
    <s v="2020-02-13"/>
    <n v="6.4"/>
    <x v="4"/>
    <n v="3"/>
    <n v="13442.25"/>
    <n v="62858.61"/>
    <n v="573"/>
    <x v="4"/>
    <x v="3"/>
    <n v="896891.26"/>
    <s v="Active"/>
    <s v="Credit Only"/>
    <n v="402642.11"/>
    <n v="49"/>
    <n v="1941.55"/>
    <n v="60.7"/>
    <x v="0"/>
    <x v="3"/>
    <x v="4"/>
    <n v="157"/>
    <x v="0"/>
  </r>
  <r>
    <x v="119"/>
    <n v="67"/>
    <s v="Female"/>
    <s v="Widowed"/>
    <x v="1"/>
    <s v="Branch-Northgate"/>
    <s v="Business Owner"/>
    <s v="2022-01-06"/>
    <n v="4.5"/>
    <x v="2"/>
    <n v="2"/>
    <n v="31676.23"/>
    <n v="53606.29"/>
    <n v="627"/>
    <x v="0"/>
    <x v="1"/>
    <n v="0"/>
    <s v="N/A"/>
    <s v="Both"/>
    <n v="236140.97"/>
    <n v="2"/>
    <n v="12426.55"/>
    <n v="27.2"/>
    <x v="0"/>
    <x v="1"/>
    <x v="2"/>
    <n v="358"/>
    <x v="0"/>
  </r>
  <r>
    <x v="120"/>
    <n v="64"/>
    <s v="Male"/>
    <s v="Widowed"/>
    <x v="1"/>
    <s v="Branch-Oakridge"/>
    <s v="Student"/>
    <s v="2026-01-12"/>
    <n v="0.5"/>
    <x v="3"/>
    <n v="2"/>
    <n v="82395.070000000007"/>
    <n v="61049.36"/>
    <n v="673"/>
    <x v="1"/>
    <x v="0"/>
    <n v="207426.78"/>
    <s v="Closed"/>
    <s v="None"/>
    <n v="0"/>
    <n v="19"/>
    <n v="3855.34"/>
    <n v="43.8"/>
    <x v="1"/>
    <x v="1"/>
    <x v="4"/>
    <n v="27"/>
    <x v="0"/>
  </r>
  <r>
    <x v="121"/>
    <n v="38"/>
    <s v="Female"/>
    <s v="Single"/>
    <x v="0"/>
    <s v="Branch-Harborview"/>
    <s v="Business Owner"/>
    <s v="2023-06-20"/>
    <n v="3"/>
    <x v="0"/>
    <n v="2"/>
    <n v="134874.54999999999"/>
    <n v="39130.199999999997"/>
    <n v="608"/>
    <x v="0"/>
    <x v="5"/>
    <n v="1755447.59"/>
    <s v="Closed"/>
    <s v="Credit Only"/>
    <n v="184817.34"/>
    <n v="54"/>
    <n v="1147.3900000000001"/>
    <n v="72.3"/>
    <x v="2"/>
    <x v="4"/>
    <x v="3"/>
    <n v="375"/>
    <x v="0"/>
  </r>
  <r>
    <x v="122"/>
    <n v="69"/>
    <s v="Female"/>
    <s v="Married"/>
    <x v="1"/>
    <s v="Branch-Eastwood"/>
    <s v="Salaried"/>
    <s v="2020-11-30"/>
    <n v="5.6"/>
    <x v="0"/>
    <n v="3"/>
    <n v="6314.9"/>
    <n v="69404"/>
    <n v="850"/>
    <x v="3"/>
    <x v="5"/>
    <n v="1193520.05"/>
    <s v="Active"/>
    <s v="None"/>
    <n v="0"/>
    <n v="31"/>
    <n v="8730.77"/>
    <n v="84.2"/>
    <x v="2"/>
    <x v="3"/>
    <x v="4"/>
    <n v="122"/>
    <x v="0"/>
  </r>
  <r>
    <x v="123"/>
    <n v="64"/>
    <s v="Female"/>
    <s v="Married"/>
    <x v="0"/>
    <s v="Branch-Riverside"/>
    <s v="Retired"/>
    <s v="2021-10-16"/>
    <n v="4.7"/>
    <x v="1"/>
    <n v="2"/>
    <n v="0"/>
    <n v="53636.54"/>
    <n v="677"/>
    <x v="1"/>
    <x v="4"/>
    <n v="2359717.25"/>
    <s v="Active"/>
    <s v="None"/>
    <n v="0"/>
    <n v="57"/>
    <n v="12498.04"/>
    <n v="33.700000000000003"/>
    <x v="1"/>
    <x v="3"/>
    <x v="3"/>
    <n v="55"/>
    <x v="0"/>
  </r>
  <r>
    <x v="124"/>
    <n v="76"/>
    <s v="Male"/>
    <s v="Single"/>
    <x v="0"/>
    <s v="Branch-Lakeview"/>
    <s v="Retired"/>
    <s v="2018-09-20"/>
    <n v="7.8"/>
    <x v="2"/>
    <n v="4"/>
    <n v="45571.28"/>
    <n v="59434.64"/>
    <n v="595"/>
    <x v="0"/>
    <x v="1"/>
    <n v="0"/>
    <s v="N/A"/>
    <s v="Both"/>
    <n v="295142.71999999997"/>
    <n v="26"/>
    <n v="2851.54"/>
    <n v="24.5"/>
    <x v="0"/>
    <x v="1"/>
    <x v="1"/>
    <n v="340"/>
    <x v="0"/>
  </r>
  <r>
    <x v="125"/>
    <n v="19"/>
    <s v="Male"/>
    <s v="Married"/>
    <x v="1"/>
    <s v="Branch-Hillcrest"/>
    <s v="Salaried"/>
    <s v="2019-11-19"/>
    <n v="6.6"/>
    <x v="2"/>
    <n v="3"/>
    <n v="43444.82"/>
    <n v="29407.9"/>
    <n v="703"/>
    <x v="1"/>
    <x v="4"/>
    <n v="1488962.68"/>
    <s v="Active"/>
    <s v="None"/>
    <n v="0"/>
    <n v="47"/>
    <n v="9846.06"/>
    <n v="74.599999999999994"/>
    <x v="0"/>
    <x v="3"/>
    <x v="4"/>
    <n v="113"/>
    <x v="0"/>
  </r>
  <r>
    <x v="126"/>
    <n v="47"/>
    <s v="Female"/>
    <s v="Married"/>
    <x v="0"/>
    <s v="Branch-Harborview"/>
    <s v="Self-Employed"/>
    <s v="2019-10-26"/>
    <n v="6.7"/>
    <x v="2"/>
    <n v="5"/>
    <n v="88932.82"/>
    <n v="27467.95"/>
    <n v="778"/>
    <x v="2"/>
    <x v="2"/>
    <n v="1694493.51"/>
    <s v="Active"/>
    <s v="Both"/>
    <n v="103896.89"/>
    <n v="16"/>
    <n v="3043.14"/>
    <n v="14"/>
    <x v="0"/>
    <x v="2"/>
    <x v="4"/>
    <n v="45"/>
    <x v="0"/>
  </r>
  <r>
    <x v="127"/>
    <n v="40"/>
    <s v="Female"/>
    <s v="Married"/>
    <x v="0"/>
    <s v="Branch-Hillcrest"/>
    <s v="Business Owner"/>
    <s v="2020-11-11"/>
    <n v="5.6"/>
    <x v="4"/>
    <n v="3"/>
    <n v="134256.42000000001"/>
    <n v="8400.4500000000007"/>
    <n v="640"/>
    <x v="0"/>
    <x v="1"/>
    <n v="0"/>
    <s v="N/A"/>
    <s v="None"/>
    <n v="0"/>
    <n v="55"/>
    <n v="4066.8"/>
    <n v="70.599999999999994"/>
    <x v="1"/>
    <x v="3"/>
    <x v="4"/>
    <n v="198"/>
    <x v="0"/>
  </r>
  <r>
    <x v="128"/>
    <n v="50"/>
    <s v="Male"/>
    <s v="Divorced"/>
    <x v="2"/>
    <s v="Branch-Lakeview"/>
    <s v="Student"/>
    <s v="2024-06-09"/>
    <n v="2.1"/>
    <x v="3"/>
    <n v="1"/>
    <n v="131285.23000000001"/>
    <n v="27958.68"/>
    <n v="760"/>
    <x v="2"/>
    <x v="0"/>
    <n v="75211.64"/>
    <s v="Closed"/>
    <s v="Credit Only"/>
    <n v="160872.48000000001"/>
    <n v="28"/>
    <n v="2934.34"/>
    <n v="33.9"/>
    <x v="1"/>
    <x v="2"/>
    <x v="1"/>
    <n v="150"/>
    <x v="0"/>
  </r>
  <r>
    <x v="129"/>
    <n v="48"/>
    <s v="Female"/>
    <s v="Married"/>
    <x v="2"/>
    <s v="Branch-Greenfield"/>
    <s v="Business Owner"/>
    <s v="2020-03-31"/>
    <n v="6.3"/>
    <x v="3"/>
    <n v="3"/>
    <n v="74201.05"/>
    <n v="16483.05"/>
    <n v="736"/>
    <x v="1"/>
    <x v="5"/>
    <n v="190216.78"/>
    <s v="Closed"/>
    <s v="Debit Only"/>
    <n v="0"/>
    <n v="9"/>
    <n v="5511.15"/>
    <n v="66.400000000000006"/>
    <x v="1"/>
    <x v="4"/>
    <x v="2"/>
    <n v="305"/>
    <x v="0"/>
  </r>
  <r>
    <x v="130"/>
    <n v="49"/>
    <s v="Male"/>
    <s v="Married"/>
    <x v="1"/>
    <s v="Branch-Downtown"/>
    <s v="Self-Employed"/>
    <s v="2025-08-20"/>
    <n v="0.9"/>
    <x v="4"/>
    <n v="1"/>
    <n v="98900.07"/>
    <n v="39070.89"/>
    <n v="680"/>
    <x v="1"/>
    <x v="4"/>
    <n v="2379479.59"/>
    <s v="Active"/>
    <s v="Debit Only"/>
    <n v="0"/>
    <n v="36"/>
    <n v="14034.56"/>
    <n v="75.099999999999994"/>
    <x v="0"/>
    <x v="1"/>
    <x v="4"/>
    <n v="373"/>
    <x v="0"/>
  </r>
  <r>
    <x v="131"/>
    <n v="58"/>
    <s v="Female"/>
    <s v="Single"/>
    <x v="1"/>
    <s v="Branch-Eastwood"/>
    <s v="Self-Employed"/>
    <s v="2019-01-06"/>
    <n v="7.5"/>
    <x v="2"/>
    <n v="1"/>
    <n v="0"/>
    <n v="33067.440000000002"/>
    <n v="655"/>
    <x v="0"/>
    <x v="0"/>
    <n v="2249633.92"/>
    <s v="Closed"/>
    <s v="Both"/>
    <n v="310643.90000000002"/>
    <n v="38"/>
    <n v="2432.48"/>
    <n v="37.200000000000003"/>
    <x v="1"/>
    <x v="1"/>
    <x v="0"/>
    <n v="18"/>
    <x v="0"/>
  </r>
  <r>
    <x v="132"/>
    <n v="28"/>
    <s v="Female"/>
    <s v="Divorced"/>
    <x v="4"/>
    <s v="Branch-Downtown"/>
    <s v="Student"/>
    <s v="2021-03-04"/>
    <n v="5.3"/>
    <x v="1"/>
    <n v="2"/>
    <n v="0"/>
    <n v="44315.27"/>
    <n v="662"/>
    <x v="0"/>
    <x v="2"/>
    <n v="769166.08"/>
    <s v="Active"/>
    <s v="Debit Only"/>
    <n v="0"/>
    <n v="53"/>
    <n v="11463.24"/>
    <n v="59.6"/>
    <x v="0"/>
    <x v="4"/>
    <x v="2"/>
    <n v="258"/>
    <x v="0"/>
  </r>
  <r>
    <x v="133"/>
    <n v="75"/>
    <s v="Female"/>
    <s v="Divorced"/>
    <x v="3"/>
    <s v="Branch-Harborview"/>
    <s v="Freelancer"/>
    <s v="2024-10-03"/>
    <n v="1.7"/>
    <x v="1"/>
    <n v="4"/>
    <n v="84311.62"/>
    <n v="47875.040000000001"/>
    <n v="740"/>
    <x v="2"/>
    <x v="5"/>
    <n v="1628680.7"/>
    <s v="Closed"/>
    <s v="Debit Only"/>
    <n v="0"/>
    <n v="57"/>
    <n v="1903.09"/>
    <n v="6.4"/>
    <x v="0"/>
    <x v="1"/>
    <x v="2"/>
    <n v="256"/>
    <x v="1"/>
  </r>
  <r>
    <x v="134"/>
    <n v="50"/>
    <s v="Female"/>
    <s v="Divorced"/>
    <x v="0"/>
    <s v="Branch-Greenfield"/>
    <s v="Salaried"/>
    <s v="2023-08-03"/>
    <n v="2.9"/>
    <x v="1"/>
    <n v="3"/>
    <n v="111490.75"/>
    <n v="8000"/>
    <n v="618"/>
    <x v="0"/>
    <x v="1"/>
    <n v="0"/>
    <s v="N/A"/>
    <s v="Both"/>
    <n v="139166.42000000001"/>
    <n v="19"/>
    <n v="5139.71"/>
    <n v="6.8"/>
    <x v="0"/>
    <x v="3"/>
    <x v="4"/>
    <n v="162"/>
    <x v="0"/>
  </r>
  <r>
    <x v="135"/>
    <n v="69"/>
    <s v="Female"/>
    <s v="Divorced"/>
    <x v="0"/>
    <s v="Branch-Hillcrest"/>
    <s v="Salaried"/>
    <s v="2018-05-08"/>
    <n v="8.1999999999999993"/>
    <x v="4"/>
    <n v="5"/>
    <n v="98213.51"/>
    <n v="68299.240000000005"/>
    <n v="764"/>
    <x v="2"/>
    <x v="0"/>
    <n v="1946155.45"/>
    <s v="Active"/>
    <s v="Credit Only"/>
    <n v="486186.03"/>
    <n v="47"/>
    <n v="11408.94"/>
    <n v="68.8"/>
    <x v="0"/>
    <x v="1"/>
    <x v="0"/>
    <n v="353"/>
    <x v="0"/>
  </r>
  <r>
    <x v="136"/>
    <n v="35"/>
    <s v="Female"/>
    <s v="Married"/>
    <x v="0"/>
    <s v="Branch-Riverside"/>
    <s v="Salaried"/>
    <s v="2024-09-02"/>
    <n v="1.8"/>
    <x v="1"/>
    <n v="4"/>
    <n v="39445.4"/>
    <n v="8000"/>
    <n v="632"/>
    <x v="0"/>
    <x v="4"/>
    <n v="852275.44"/>
    <s v="Active"/>
    <s v="Debit Only"/>
    <n v="0"/>
    <n v="24"/>
    <n v="8242.33"/>
    <n v="74.599999999999994"/>
    <x v="4"/>
    <x v="2"/>
    <x v="3"/>
    <n v="138"/>
    <x v="0"/>
  </r>
  <r>
    <x v="137"/>
    <n v="42"/>
    <s v="Female"/>
    <s v="Married"/>
    <x v="1"/>
    <s v="Branch-Northgate"/>
    <s v="Salaried"/>
    <s v="2020-06-28"/>
    <n v="6"/>
    <x v="4"/>
    <n v="2"/>
    <n v="67808.84"/>
    <n v="56602.45"/>
    <n v="639"/>
    <x v="0"/>
    <x v="1"/>
    <n v="0"/>
    <s v="N/A"/>
    <s v="Credit Only"/>
    <n v="57990.559999999998"/>
    <n v="56"/>
    <n v="14349.81"/>
    <n v="3.4"/>
    <x v="1"/>
    <x v="2"/>
    <x v="1"/>
    <n v="126"/>
    <x v="0"/>
  </r>
  <r>
    <x v="138"/>
    <n v="68"/>
    <s v="Male"/>
    <s v="Widowed"/>
    <x v="0"/>
    <s v="Branch-Westfield"/>
    <s v="Self-Employed"/>
    <s v="2024-10-29"/>
    <n v="1.7"/>
    <x v="4"/>
    <n v="2"/>
    <n v="112567.51"/>
    <n v="62010.99"/>
    <n v="654"/>
    <x v="0"/>
    <x v="0"/>
    <n v="1323731.3799999999"/>
    <s v="Active"/>
    <s v="Both"/>
    <n v="285333.15999999997"/>
    <n v="5"/>
    <n v="14450.1"/>
    <n v="81.7"/>
    <x v="1"/>
    <x v="0"/>
    <x v="1"/>
    <n v="287"/>
    <x v="0"/>
  </r>
  <r>
    <x v="139"/>
    <n v="61"/>
    <s v="Male"/>
    <s v="Widowed"/>
    <x v="0"/>
    <s v="Branch-Midtown"/>
    <s v="Freelancer"/>
    <s v="2022-04-24"/>
    <n v="4.2"/>
    <x v="4"/>
    <n v="4"/>
    <n v="59571.46"/>
    <n v="52740.71"/>
    <n v="720"/>
    <x v="1"/>
    <x v="3"/>
    <n v="806851.97"/>
    <s v="Active"/>
    <s v="Debit Only"/>
    <n v="0"/>
    <n v="2"/>
    <n v="435.02"/>
    <n v="15.2"/>
    <x v="4"/>
    <x v="4"/>
    <x v="4"/>
    <n v="167"/>
    <x v="0"/>
  </r>
  <r>
    <x v="140"/>
    <n v="68"/>
    <s v="Male"/>
    <s v="Divorced"/>
    <x v="1"/>
    <s v="Branch-Greenfield"/>
    <s v="Salaried"/>
    <s v="2020-12-27"/>
    <n v="5.5"/>
    <x v="1"/>
    <n v="3"/>
    <n v="83984.22"/>
    <n v="57701.42"/>
    <n v="612"/>
    <x v="0"/>
    <x v="1"/>
    <n v="0"/>
    <s v="N/A"/>
    <s v="Credit Only"/>
    <n v="345433.43"/>
    <n v="52"/>
    <n v="4755.78"/>
    <n v="64.599999999999994"/>
    <x v="0"/>
    <x v="2"/>
    <x v="4"/>
    <n v="289"/>
    <x v="0"/>
  </r>
  <r>
    <x v="141"/>
    <n v="59"/>
    <s v="Male"/>
    <s v="Divorced"/>
    <x v="3"/>
    <s v="Branch-Riverside"/>
    <s v="Self-Employed"/>
    <s v="2022-05-06"/>
    <n v="4.2"/>
    <x v="4"/>
    <n v="3"/>
    <n v="0"/>
    <n v="33885.21"/>
    <n v="734"/>
    <x v="1"/>
    <x v="0"/>
    <n v="1268156.6299999999"/>
    <s v="Closed"/>
    <s v="Credit Only"/>
    <n v="267284.95"/>
    <n v="4"/>
    <n v="3865.08"/>
    <n v="75"/>
    <x v="0"/>
    <x v="4"/>
    <x v="1"/>
    <n v="280"/>
    <x v="0"/>
  </r>
  <r>
    <x v="142"/>
    <n v="27"/>
    <s v="Male"/>
    <s v="Single"/>
    <x v="2"/>
    <s v="Branch-Downtown"/>
    <s v="Self-Employed"/>
    <s v="2024-04-23"/>
    <n v="2.2000000000000002"/>
    <x v="1"/>
    <n v="1"/>
    <n v="159596.9"/>
    <n v="47124.02"/>
    <n v="780"/>
    <x v="2"/>
    <x v="3"/>
    <n v="1837903.2"/>
    <s v="Active"/>
    <s v="None"/>
    <n v="0"/>
    <n v="36"/>
    <n v="8595.86"/>
    <n v="70.099999999999994"/>
    <x v="1"/>
    <x v="3"/>
    <x v="2"/>
    <n v="220"/>
    <x v="0"/>
  </r>
  <r>
    <x v="143"/>
    <n v="76"/>
    <s v="Female"/>
    <s v="Widowed"/>
    <x v="4"/>
    <s v="Branch-Hillcrest"/>
    <s v="Business Owner"/>
    <s v="2021-07-17"/>
    <n v="5"/>
    <x v="2"/>
    <n v="4"/>
    <n v="117564.82"/>
    <n v="38170.42"/>
    <n v="717"/>
    <x v="1"/>
    <x v="2"/>
    <n v="2178248.69"/>
    <s v="Closed"/>
    <s v="None"/>
    <n v="0"/>
    <n v="17"/>
    <n v="4751.8599999999997"/>
    <n v="84.2"/>
    <x v="0"/>
    <x v="3"/>
    <x v="1"/>
    <n v="48"/>
    <x v="0"/>
  </r>
  <r>
    <x v="144"/>
    <n v="59"/>
    <s v="Female"/>
    <s v="Married"/>
    <x v="0"/>
    <s v="Branch-Riverside"/>
    <s v="Self-Employed"/>
    <s v="2023-05-01"/>
    <n v="3.2"/>
    <x v="2"/>
    <n v="3"/>
    <n v="0"/>
    <n v="48445.52"/>
    <n v="654"/>
    <x v="0"/>
    <x v="4"/>
    <n v="1515843.57"/>
    <s v="Active"/>
    <s v="Credit Only"/>
    <n v="110105.07"/>
    <n v="45"/>
    <n v="6360.19"/>
    <n v="19"/>
    <x v="1"/>
    <x v="4"/>
    <x v="1"/>
    <n v="219"/>
    <x v="0"/>
  </r>
  <r>
    <x v="145"/>
    <n v="64"/>
    <s v="Female"/>
    <s v="Divorced"/>
    <x v="3"/>
    <s v="Branch-Riverside"/>
    <s v="Freelancer"/>
    <s v="2021-03-30"/>
    <n v="5.3"/>
    <x v="0"/>
    <n v="2"/>
    <n v="1808.92"/>
    <n v="41012.129999999997"/>
    <n v="803"/>
    <x v="3"/>
    <x v="1"/>
    <n v="0"/>
    <s v="N/A"/>
    <s v="Both"/>
    <n v="468973.6"/>
    <n v="28"/>
    <n v="5499.36"/>
    <n v="68.099999999999994"/>
    <x v="2"/>
    <x v="0"/>
    <x v="1"/>
    <n v="344"/>
    <x v="1"/>
  </r>
  <r>
    <x v="146"/>
    <n v="69"/>
    <s v="Female"/>
    <s v="Married"/>
    <x v="0"/>
    <s v="Branch-Midtown"/>
    <s v="Student"/>
    <s v="2026-03-06"/>
    <n v="0.3"/>
    <x v="1"/>
    <n v="4"/>
    <n v="0"/>
    <n v="45243.05"/>
    <n v="745"/>
    <x v="2"/>
    <x v="1"/>
    <n v="0"/>
    <s v="N/A"/>
    <s v="None"/>
    <n v="0"/>
    <n v="15"/>
    <n v="6382.5"/>
    <n v="45.2"/>
    <x v="0"/>
    <x v="1"/>
    <x v="2"/>
    <n v="17"/>
    <x v="1"/>
  </r>
  <r>
    <x v="147"/>
    <n v="78"/>
    <s v="Female"/>
    <s v="Divorced"/>
    <x v="3"/>
    <s v="Branch-Greenfield"/>
    <s v="Salaried"/>
    <s v="2020-11-13"/>
    <n v="5.6"/>
    <x v="1"/>
    <n v="3"/>
    <n v="37751.339999999997"/>
    <n v="75165.399999999994"/>
    <n v="793"/>
    <x v="2"/>
    <x v="1"/>
    <n v="0"/>
    <s v="N/A"/>
    <s v="Both"/>
    <n v="71718.240000000005"/>
    <n v="19"/>
    <n v="4812.13"/>
    <n v="86.9"/>
    <x v="0"/>
    <x v="0"/>
    <x v="1"/>
    <n v="81"/>
    <x v="0"/>
  </r>
  <r>
    <x v="148"/>
    <n v="37"/>
    <s v="Female"/>
    <s v="Divorced"/>
    <x v="0"/>
    <s v="Branch-Hillcrest"/>
    <s v="Student"/>
    <s v="2023-05-18"/>
    <n v="3.1"/>
    <x v="0"/>
    <n v="4"/>
    <n v="0"/>
    <n v="28595.42"/>
    <n v="639"/>
    <x v="0"/>
    <x v="3"/>
    <n v="2316214.2599999998"/>
    <s v="Active"/>
    <s v="Credit Only"/>
    <n v="114507.47"/>
    <n v="27"/>
    <n v="10175.620000000001"/>
    <n v="41.8"/>
    <x v="4"/>
    <x v="1"/>
    <x v="4"/>
    <n v="263"/>
    <x v="0"/>
  </r>
  <r>
    <x v="149"/>
    <n v="22"/>
    <s v="Male"/>
    <s v="Divorced"/>
    <x v="2"/>
    <s v="Branch-Northgate"/>
    <s v="Freelancer"/>
    <s v="2018-05-20"/>
    <n v="8.1"/>
    <x v="1"/>
    <n v="3"/>
    <n v="119633.87"/>
    <n v="60233.03"/>
    <n v="693"/>
    <x v="1"/>
    <x v="4"/>
    <n v="441318.40000000002"/>
    <s v="Active"/>
    <s v="None"/>
    <n v="0"/>
    <n v="19"/>
    <n v="4242.5600000000004"/>
    <n v="36.6"/>
    <x v="1"/>
    <x v="1"/>
    <x v="0"/>
    <n v="372"/>
    <x v="0"/>
  </r>
  <r>
    <x v="150"/>
    <n v="64"/>
    <s v="Male"/>
    <s v="Single"/>
    <x v="4"/>
    <s v="Branch-Riverside"/>
    <s v="Business Owner"/>
    <s v="2021-01-16"/>
    <n v="5.5"/>
    <x v="3"/>
    <n v="1"/>
    <n v="91504.49"/>
    <n v="62461.08"/>
    <n v="720"/>
    <x v="1"/>
    <x v="3"/>
    <n v="1714107.49"/>
    <s v="Closed"/>
    <s v="Both"/>
    <n v="355051.21"/>
    <n v="24"/>
    <n v="11861.72"/>
    <n v="39.9"/>
    <x v="3"/>
    <x v="0"/>
    <x v="3"/>
    <n v="304"/>
    <x v="1"/>
  </r>
  <r>
    <x v="151"/>
    <n v="39"/>
    <s v="Male"/>
    <s v="Married"/>
    <x v="3"/>
    <s v="Branch-Downtown"/>
    <s v="Salaried"/>
    <s v="2020-11-12"/>
    <n v="5.6"/>
    <x v="1"/>
    <n v="4"/>
    <n v="8584.4699999999993"/>
    <n v="85069.66"/>
    <n v="701"/>
    <x v="1"/>
    <x v="0"/>
    <n v="2193316.85"/>
    <s v="Closed"/>
    <s v="None"/>
    <n v="0"/>
    <n v="28"/>
    <n v="5040.83"/>
    <n v="32.1"/>
    <x v="3"/>
    <x v="0"/>
    <x v="3"/>
    <n v="259"/>
    <x v="0"/>
  </r>
  <r>
    <x v="152"/>
    <n v="74"/>
    <s v="Male"/>
    <s v="Divorced"/>
    <x v="1"/>
    <s v="Branch-Harborview"/>
    <s v="Business Owner"/>
    <s v="2026-05-29"/>
    <n v="0.1"/>
    <x v="0"/>
    <n v="4"/>
    <n v="208321.65"/>
    <n v="27795.15"/>
    <n v="691"/>
    <x v="1"/>
    <x v="1"/>
    <n v="0"/>
    <s v="N/A"/>
    <s v="Both"/>
    <n v="190422.51"/>
    <n v="2"/>
    <n v="11439.59"/>
    <n v="45.4"/>
    <x v="0"/>
    <x v="1"/>
    <x v="4"/>
    <n v="126"/>
    <x v="0"/>
  </r>
  <r>
    <x v="153"/>
    <n v="69"/>
    <s v="Female"/>
    <s v="Married"/>
    <x v="0"/>
    <s v="Branch-Northgate"/>
    <s v="Student"/>
    <s v="2020-02-23"/>
    <n v="6.4"/>
    <x v="4"/>
    <n v="5"/>
    <n v="66548.490000000005"/>
    <n v="45824.91"/>
    <n v="710"/>
    <x v="1"/>
    <x v="1"/>
    <n v="0"/>
    <s v="N/A"/>
    <s v="None"/>
    <n v="0"/>
    <n v="6"/>
    <n v="5022.6899999999996"/>
    <n v="78.400000000000006"/>
    <x v="2"/>
    <x v="0"/>
    <x v="4"/>
    <n v="393"/>
    <x v="0"/>
  </r>
  <r>
    <x v="154"/>
    <n v="52"/>
    <s v="Female"/>
    <s v="Divorced"/>
    <x v="3"/>
    <s v="Branch-Greenfield"/>
    <s v="Freelancer"/>
    <s v="2025-05-11"/>
    <n v="1.1000000000000001"/>
    <x v="2"/>
    <n v="3"/>
    <n v="76996.77"/>
    <n v="28131.58"/>
    <n v="518"/>
    <x v="4"/>
    <x v="0"/>
    <n v="1938421.85"/>
    <s v="Closed"/>
    <s v="Credit Only"/>
    <n v="207712.09"/>
    <n v="38"/>
    <n v="551.6"/>
    <n v="98.6"/>
    <x v="2"/>
    <x v="2"/>
    <x v="1"/>
    <n v="280"/>
    <x v="0"/>
  </r>
  <r>
    <x v="155"/>
    <n v="50"/>
    <s v="Female"/>
    <s v="Widowed"/>
    <x v="4"/>
    <s v="Branch-Harborview"/>
    <s v="Student"/>
    <s v="2023-05-07"/>
    <n v="3.2"/>
    <x v="1"/>
    <n v="5"/>
    <n v="160454.60999999999"/>
    <n v="29572.83"/>
    <n v="848"/>
    <x v="3"/>
    <x v="1"/>
    <n v="0"/>
    <s v="N/A"/>
    <s v="Credit Only"/>
    <n v="350124.56"/>
    <n v="54"/>
    <n v="8719.7199999999993"/>
    <n v="89"/>
    <x v="2"/>
    <x v="0"/>
    <x v="1"/>
    <n v="290"/>
    <x v="0"/>
  </r>
  <r>
    <x v="156"/>
    <n v="21"/>
    <s v="Female"/>
    <s v="Divorced"/>
    <x v="1"/>
    <s v="Branch-Southpark"/>
    <s v="Self-Employed"/>
    <s v="2018-12-06"/>
    <n v="7.6"/>
    <x v="2"/>
    <n v="4"/>
    <n v="84288.14"/>
    <n v="37410.730000000003"/>
    <n v="850"/>
    <x v="3"/>
    <x v="1"/>
    <n v="0"/>
    <s v="N/A"/>
    <s v="Credit Only"/>
    <n v="456349.84"/>
    <n v="31"/>
    <n v="11654.46"/>
    <n v="55.9"/>
    <x v="1"/>
    <x v="4"/>
    <x v="1"/>
    <n v="158"/>
    <x v="0"/>
  </r>
  <r>
    <x v="157"/>
    <n v="62"/>
    <s v="Male"/>
    <s v="Married"/>
    <x v="3"/>
    <s v="Branch-Hillcrest"/>
    <s v="Salaried"/>
    <s v="2020-12-04"/>
    <n v="5.6"/>
    <x v="2"/>
    <n v="1"/>
    <n v="0"/>
    <n v="67819.12"/>
    <n v="705"/>
    <x v="1"/>
    <x v="1"/>
    <n v="0"/>
    <s v="N/A"/>
    <s v="Debit Only"/>
    <n v="0"/>
    <n v="51"/>
    <n v="4711.1400000000003"/>
    <n v="38.6"/>
    <x v="0"/>
    <x v="1"/>
    <x v="4"/>
    <n v="115"/>
    <x v="0"/>
  </r>
  <r>
    <x v="158"/>
    <n v="77"/>
    <s v="Female"/>
    <s v="Widowed"/>
    <x v="1"/>
    <s v="Branch-Hillcrest"/>
    <s v="Business Owner"/>
    <s v="2022-01-02"/>
    <n v="4.5"/>
    <x v="2"/>
    <n v="3"/>
    <n v="0"/>
    <n v="55598.65"/>
    <n v="689"/>
    <x v="1"/>
    <x v="5"/>
    <n v="1773228.88"/>
    <s v="Active"/>
    <s v="Credit Only"/>
    <n v="375099.56"/>
    <n v="9"/>
    <n v="12103.1"/>
    <n v="74.8"/>
    <x v="1"/>
    <x v="3"/>
    <x v="1"/>
    <n v="342"/>
    <x v="0"/>
  </r>
  <r>
    <x v="159"/>
    <n v="40"/>
    <s v="Female"/>
    <s v="Married"/>
    <x v="4"/>
    <s v="Branch-Greenfield"/>
    <s v="Self-Employed"/>
    <s v="2022-12-11"/>
    <n v="3.6"/>
    <x v="0"/>
    <n v="2"/>
    <n v="62823.94"/>
    <n v="27195.58"/>
    <n v="548"/>
    <x v="4"/>
    <x v="2"/>
    <n v="527675.69999999995"/>
    <s v="Active"/>
    <s v="None"/>
    <n v="0"/>
    <n v="11"/>
    <n v="11372.72"/>
    <n v="29.4"/>
    <x v="0"/>
    <x v="3"/>
    <x v="4"/>
    <n v="86"/>
    <x v="0"/>
  </r>
  <r>
    <x v="160"/>
    <n v="69"/>
    <s v="Female"/>
    <s v="Divorced"/>
    <x v="4"/>
    <s v="Branch-Eastwood"/>
    <s v="Retired"/>
    <s v="2020-12-07"/>
    <n v="5.6"/>
    <x v="2"/>
    <n v="2"/>
    <n v="66985.06"/>
    <n v="64636.72"/>
    <n v="761"/>
    <x v="2"/>
    <x v="1"/>
    <n v="0"/>
    <s v="N/A"/>
    <s v="Both"/>
    <n v="135411.01999999999"/>
    <n v="37"/>
    <n v="947"/>
    <n v="3.7"/>
    <x v="0"/>
    <x v="3"/>
    <x v="4"/>
    <n v="161"/>
    <x v="0"/>
  </r>
  <r>
    <x v="161"/>
    <n v="44"/>
    <s v="Female"/>
    <s v="Divorced"/>
    <x v="2"/>
    <s v="Branch-Eastwood"/>
    <s v="Freelancer"/>
    <s v="2023-03-01"/>
    <n v="3.3"/>
    <x v="0"/>
    <n v="1"/>
    <n v="0"/>
    <n v="53667.66"/>
    <n v="800"/>
    <x v="3"/>
    <x v="3"/>
    <n v="247476.89"/>
    <s v="Active"/>
    <s v="Credit Only"/>
    <n v="327075.90000000002"/>
    <n v="58"/>
    <n v="4699.67"/>
    <n v="19.899999999999999"/>
    <x v="0"/>
    <x v="0"/>
    <x v="4"/>
    <n v="231"/>
    <x v="1"/>
  </r>
  <r>
    <x v="162"/>
    <n v="45"/>
    <s v="Female"/>
    <s v="Divorced"/>
    <x v="4"/>
    <s v="Branch-Southpark"/>
    <s v="Self-Employed"/>
    <s v="2020-09-10"/>
    <n v="5.8"/>
    <x v="2"/>
    <n v="2"/>
    <n v="84611.1"/>
    <n v="22759.21"/>
    <n v="811"/>
    <x v="3"/>
    <x v="4"/>
    <n v="778952.13"/>
    <s v="Active"/>
    <s v="Debit Only"/>
    <n v="0"/>
    <n v="56"/>
    <n v="6575.81"/>
    <n v="32.1"/>
    <x v="1"/>
    <x v="0"/>
    <x v="0"/>
    <n v="287"/>
    <x v="0"/>
  </r>
  <r>
    <x v="163"/>
    <n v="59"/>
    <s v="Male"/>
    <s v="Widowed"/>
    <x v="4"/>
    <s v="Branch-Downtown"/>
    <s v="Freelancer"/>
    <s v="2021-03-03"/>
    <n v="5.3"/>
    <x v="1"/>
    <n v="1"/>
    <n v="71916"/>
    <n v="38844.85"/>
    <n v="801"/>
    <x v="3"/>
    <x v="1"/>
    <n v="0"/>
    <s v="N/A"/>
    <s v="Both"/>
    <n v="245217.91"/>
    <n v="42"/>
    <n v="10762.46"/>
    <n v="13.9"/>
    <x v="0"/>
    <x v="3"/>
    <x v="2"/>
    <n v="210"/>
    <x v="0"/>
  </r>
  <r>
    <x v="164"/>
    <n v="24"/>
    <s v="Male"/>
    <s v="Widowed"/>
    <x v="2"/>
    <s v="Branch-Westfield"/>
    <s v="Self-Employed"/>
    <s v="2023-05-04"/>
    <n v="3.2"/>
    <x v="1"/>
    <n v="2"/>
    <n v="110066.4"/>
    <n v="74999.27"/>
    <n v="825"/>
    <x v="3"/>
    <x v="3"/>
    <n v="2284182.37"/>
    <s v="Active"/>
    <s v="None"/>
    <n v="0"/>
    <n v="17"/>
    <n v="14551.59"/>
    <n v="48.1"/>
    <x v="0"/>
    <x v="2"/>
    <x v="4"/>
    <n v="31"/>
    <x v="0"/>
  </r>
  <r>
    <x v="165"/>
    <n v="48"/>
    <s v="Male"/>
    <s v="Single"/>
    <x v="2"/>
    <s v="Branch-Midtown"/>
    <s v="Self-Employed"/>
    <s v="2021-02-17"/>
    <n v="5.4"/>
    <x v="0"/>
    <n v="5"/>
    <n v="0"/>
    <n v="8779.7099999999991"/>
    <n v="617"/>
    <x v="0"/>
    <x v="1"/>
    <n v="0"/>
    <s v="N/A"/>
    <s v="None"/>
    <n v="0"/>
    <n v="49"/>
    <n v="8462.16"/>
    <n v="44.1"/>
    <x v="0"/>
    <x v="1"/>
    <x v="4"/>
    <n v="243"/>
    <x v="0"/>
  </r>
  <r>
    <x v="166"/>
    <n v="45"/>
    <s v="Male"/>
    <s v="Divorced"/>
    <x v="1"/>
    <s v="Branch-Eastwood"/>
    <s v="Freelancer"/>
    <s v="2019-08-26"/>
    <n v="6.8"/>
    <x v="4"/>
    <n v="1"/>
    <n v="61069.89"/>
    <n v="67445.320000000007"/>
    <n v="688"/>
    <x v="1"/>
    <x v="1"/>
    <n v="0"/>
    <s v="N/A"/>
    <s v="Both"/>
    <n v="399904.94"/>
    <n v="26"/>
    <n v="1191.25"/>
    <n v="76.2"/>
    <x v="1"/>
    <x v="3"/>
    <x v="4"/>
    <n v="315"/>
    <x v="0"/>
  </r>
  <r>
    <x v="167"/>
    <n v="62"/>
    <s v="Male"/>
    <s v="Married"/>
    <x v="1"/>
    <s v="Branch-Riverside"/>
    <s v="Student"/>
    <s v="2022-02-21"/>
    <n v="4.4000000000000004"/>
    <x v="1"/>
    <n v="1"/>
    <n v="0"/>
    <n v="24527.3"/>
    <n v="850"/>
    <x v="3"/>
    <x v="1"/>
    <n v="0"/>
    <s v="N/A"/>
    <s v="None"/>
    <n v="0"/>
    <n v="55"/>
    <n v="4697.3900000000003"/>
    <n v="63.2"/>
    <x v="0"/>
    <x v="1"/>
    <x v="0"/>
    <n v="138"/>
    <x v="0"/>
  </r>
  <r>
    <x v="168"/>
    <n v="50"/>
    <s v="Male"/>
    <s v="Married"/>
    <x v="3"/>
    <s v="Branch-Westfield"/>
    <s v="Retired"/>
    <s v="2026-02-04"/>
    <n v="0.4"/>
    <x v="1"/>
    <n v="2"/>
    <n v="20335.3"/>
    <n v="71708.02"/>
    <n v="794"/>
    <x v="2"/>
    <x v="1"/>
    <n v="0"/>
    <s v="N/A"/>
    <s v="Credit Only"/>
    <n v="378707.7"/>
    <n v="37"/>
    <n v="12739.61"/>
    <n v="33.9"/>
    <x v="0"/>
    <x v="0"/>
    <x v="4"/>
    <n v="13"/>
    <x v="0"/>
  </r>
  <r>
    <x v="169"/>
    <n v="41"/>
    <s v="Male"/>
    <s v="Single"/>
    <x v="4"/>
    <s v="Branch-Eastwood"/>
    <s v="Salaried"/>
    <s v="2020-07-04"/>
    <n v="6"/>
    <x v="4"/>
    <n v="4"/>
    <n v="0"/>
    <n v="71541.740000000005"/>
    <n v="575"/>
    <x v="4"/>
    <x v="1"/>
    <n v="0"/>
    <s v="N/A"/>
    <s v="Credit Only"/>
    <n v="254603.71"/>
    <n v="52"/>
    <n v="9049.6"/>
    <n v="38.6"/>
    <x v="0"/>
    <x v="1"/>
    <x v="2"/>
    <n v="295"/>
    <x v="0"/>
  </r>
  <r>
    <x v="170"/>
    <n v="61"/>
    <s v="Female"/>
    <s v="Widowed"/>
    <x v="3"/>
    <s v="Branch-Downtown"/>
    <s v="Salaried"/>
    <s v="2022-01-25"/>
    <n v="4.4000000000000004"/>
    <x v="4"/>
    <n v="2"/>
    <n v="81232.639999999999"/>
    <n v="87723.87"/>
    <n v="639"/>
    <x v="0"/>
    <x v="4"/>
    <n v="302550.90999999997"/>
    <s v="Closed"/>
    <s v="Both"/>
    <n v="192657.46"/>
    <n v="9"/>
    <n v="6051.42"/>
    <n v="38.6"/>
    <x v="2"/>
    <x v="4"/>
    <x v="1"/>
    <n v="151"/>
    <x v="1"/>
  </r>
  <r>
    <x v="171"/>
    <n v="40"/>
    <s v="Female"/>
    <s v="Married"/>
    <x v="0"/>
    <s v="Branch-Harborview"/>
    <s v="Business Owner"/>
    <s v="2018-12-17"/>
    <n v="7.5"/>
    <x v="2"/>
    <n v="5"/>
    <n v="94753.16"/>
    <n v="45117.1"/>
    <n v="716"/>
    <x v="1"/>
    <x v="3"/>
    <n v="1394802.47"/>
    <s v="Active"/>
    <s v="Credit Only"/>
    <n v="118001.77"/>
    <n v="46"/>
    <n v="9589.7199999999993"/>
    <n v="22.3"/>
    <x v="2"/>
    <x v="2"/>
    <x v="1"/>
    <n v="0"/>
    <x v="0"/>
  </r>
  <r>
    <x v="172"/>
    <n v="49"/>
    <s v="Female"/>
    <s v="Divorced"/>
    <x v="3"/>
    <s v="Branch-Harborview"/>
    <s v="Salaried"/>
    <s v="2020-03-01"/>
    <n v="6.3"/>
    <x v="2"/>
    <n v="2"/>
    <n v="36577.269999999997"/>
    <n v="13217.71"/>
    <n v="566"/>
    <x v="4"/>
    <x v="3"/>
    <n v="313831.96000000002"/>
    <s v="Closed"/>
    <s v="Debit Only"/>
    <n v="0"/>
    <n v="49"/>
    <n v="8435.18"/>
    <n v="70.2"/>
    <x v="1"/>
    <x v="1"/>
    <x v="3"/>
    <n v="125"/>
    <x v="0"/>
  </r>
  <r>
    <x v="173"/>
    <n v="22"/>
    <s v="Male"/>
    <s v="Single"/>
    <x v="2"/>
    <s v="Branch-Hillcrest"/>
    <s v="Self-Employed"/>
    <s v="2025-09-14"/>
    <n v="0.8"/>
    <x v="4"/>
    <n v="2"/>
    <n v="0"/>
    <n v="41005.83"/>
    <n v="817"/>
    <x v="3"/>
    <x v="0"/>
    <n v="987251.69"/>
    <s v="Closed"/>
    <s v="Credit Only"/>
    <n v="487449.62"/>
    <n v="51"/>
    <n v="13078.89"/>
    <n v="65.599999999999994"/>
    <x v="0"/>
    <x v="1"/>
    <x v="0"/>
    <n v="252"/>
    <x v="1"/>
  </r>
  <r>
    <x v="174"/>
    <n v="51"/>
    <s v="Female"/>
    <s v="Widowed"/>
    <x v="0"/>
    <s v="Branch-Oakridge"/>
    <s v="Salaried"/>
    <s v="2020-11-30"/>
    <n v="5.6"/>
    <x v="0"/>
    <n v="5"/>
    <n v="129198.46"/>
    <n v="71670.570000000007"/>
    <n v="693"/>
    <x v="1"/>
    <x v="3"/>
    <n v="2420794.13"/>
    <s v="Defaulted"/>
    <s v="Both"/>
    <n v="301055.27"/>
    <n v="59"/>
    <n v="14175.69"/>
    <n v="48.3"/>
    <x v="0"/>
    <x v="1"/>
    <x v="1"/>
    <n v="253"/>
    <x v="0"/>
  </r>
  <r>
    <x v="175"/>
    <n v="46"/>
    <s v="Female"/>
    <s v="Married"/>
    <x v="2"/>
    <s v="Branch-Westfield"/>
    <s v="Salaried"/>
    <s v="2019-01-31"/>
    <n v="7.4"/>
    <x v="1"/>
    <n v="3"/>
    <n v="26919.46"/>
    <n v="69137.72"/>
    <n v="745"/>
    <x v="2"/>
    <x v="0"/>
    <n v="1607546.23"/>
    <s v="Active"/>
    <s v="Both"/>
    <n v="228047.15"/>
    <n v="11"/>
    <n v="3693.85"/>
    <n v="43.8"/>
    <x v="2"/>
    <x v="3"/>
    <x v="2"/>
    <n v="42"/>
    <x v="0"/>
  </r>
  <r>
    <x v="176"/>
    <n v="57"/>
    <s v="Male"/>
    <s v="Single"/>
    <x v="0"/>
    <s v="Branch-Westfield"/>
    <s v="Self-Employed"/>
    <s v="2021-10-02"/>
    <n v="4.7"/>
    <x v="4"/>
    <n v="4"/>
    <n v="0"/>
    <n v="63385.93"/>
    <n v="621"/>
    <x v="0"/>
    <x v="1"/>
    <n v="0"/>
    <s v="N/A"/>
    <s v="Debit Only"/>
    <n v="0"/>
    <n v="46"/>
    <n v="9426.43"/>
    <n v="14.5"/>
    <x v="0"/>
    <x v="0"/>
    <x v="0"/>
    <n v="309"/>
    <x v="0"/>
  </r>
  <r>
    <x v="177"/>
    <n v="39"/>
    <s v="Male"/>
    <s v="Divorced"/>
    <x v="1"/>
    <s v="Branch-Hillcrest"/>
    <s v="Business Owner"/>
    <s v="2021-11-04"/>
    <n v="4.7"/>
    <x v="2"/>
    <n v="5"/>
    <n v="96028.46"/>
    <n v="16477.990000000002"/>
    <n v="675"/>
    <x v="1"/>
    <x v="1"/>
    <n v="0"/>
    <s v="N/A"/>
    <s v="Debit Only"/>
    <n v="0"/>
    <n v="40"/>
    <n v="5750.46"/>
    <n v="54.7"/>
    <x v="3"/>
    <x v="3"/>
    <x v="1"/>
    <n v="364"/>
    <x v="0"/>
  </r>
  <r>
    <x v="178"/>
    <n v="20"/>
    <s v="Female"/>
    <s v="Divorced"/>
    <x v="4"/>
    <s v="Branch-Oakridge"/>
    <s v="Student"/>
    <s v="2020-07-15"/>
    <n v="6"/>
    <x v="2"/>
    <n v="3"/>
    <n v="0"/>
    <n v="21921.68"/>
    <n v="657"/>
    <x v="0"/>
    <x v="0"/>
    <n v="855612.3"/>
    <s v="Active"/>
    <s v="Both"/>
    <n v="322679.06"/>
    <n v="48"/>
    <n v="14531.04"/>
    <n v="79.5"/>
    <x v="0"/>
    <x v="3"/>
    <x v="4"/>
    <n v="87"/>
    <x v="0"/>
  </r>
  <r>
    <x v="179"/>
    <n v="46"/>
    <s v="Female"/>
    <s v="Married"/>
    <x v="4"/>
    <s v="Branch-Harborview"/>
    <s v="Retired"/>
    <s v="2021-12-17"/>
    <n v="4.5"/>
    <x v="2"/>
    <n v="4"/>
    <n v="132262.42000000001"/>
    <n v="72958.42"/>
    <n v="827"/>
    <x v="3"/>
    <x v="1"/>
    <n v="0"/>
    <s v="N/A"/>
    <s v="Both"/>
    <n v="206101.41"/>
    <n v="53"/>
    <n v="5092.34"/>
    <n v="37.9"/>
    <x v="1"/>
    <x v="4"/>
    <x v="1"/>
    <n v="398"/>
    <x v="0"/>
  </r>
  <r>
    <x v="180"/>
    <n v="58"/>
    <s v="Female"/>
    <s v="Widowed"/>
    <x v="2"/>
    <s v="Branch-Harborview"/>
    <s v="Salaried"/>
    <s v="2020-07-13"/>
    <n v="6"/>
    <x v="2"/>
    <n v="3"/>
    <n v="55996.62"/>
    <n v="68642.990000000005"/>
    <n v="707"/>
    <x v="1"/>
    <x v="1"/>
    <n v="0"/>
    <s v="N/A"/>
    <s v="Both"/>
    <n v="297259.25"/>
    <n v="1"/>
    <n v="10662.77"/>
    <n v="22.9"/>
    <x v="4"/>
    <x v="4"/>
    <x v="1"/>
    <n v="370"/>
    <x v="1"/>
  </r>
  <r>
    <x v="181"/>
    <n v="45"/>
    <s v="Female"/>
    <s v="Married"/>
    <x v="4"/>
    <s v="Branch-Harborview"/>
    <s v="Self-Employed"/>
    <s v="2024-04-20"/>
    <n v="2.2000000000000002"/>
    <x v="1"/>
    <n v="5"/>
    <n v="100004.08"/>
    <n v="41929.230000000003"/>
    <n v="671"/>
    <x v="1"/>
    <x v="1"/>
    <n v="0"/>
    <s v="N/A"/>
    <s v="Credit Only"/>
    <n v="205515.41"/>
    <n v="0"/>
    <n v="12013.99"/>
    <n v="29.8"/>
    <x v="0"/>
    <x v="2"/>
    <x v="1"/>
    <n v="383"/>
    <x v="0"/>
  </r>
  <r>
    <x v="182"/>
    <n v="60"/>
    <s v="Female"/>
    <s v="Single"/>
    <x v="1"/>
    <s v="Branch-Oakridge"/>
    <s v="Freelancer"/>
    <s v="2021-02-20"/>
    <n v="5.4"/>
    <x v="2"/>
    <n v="1"/>
    <n v="6688.27"/>
    <n v="51072.37"/>
    <n v="574"/>
    <x v="4"/>
    <x v="3"/>
    <n v="334108.68"/>
    <s v="Active"/>
    <s v="Credit Only"/>
    <n v="257771.34"/>
    <n v="1"/>
    <n v="5170.08"/>
    <n v="8.3000000000000007"/>
    <x v="0"/>
    <x v="3"/>
    <x v="1"/>
    <n v="388"/>
    <x v="1"/>
  </r>
  <r>
    <x v="183"/>
    <n v="48"/>
    <s v="Male"/>
    <s v="Widowed"/>
    <x v="1"/>
    <s v="Branch-Northgate"/>
    <s v="Freelancer"/>
    <s v="2021-08-27"/>
    <n v="4.8"/>
    <x v="1"/>
    <n v="4"/>
    <n v="42221.91"/>
    <n v="37789.589999999997"/>
    <n v="614"/>
    <x v="0"/>
    <x v="1"/>
    <n v="0"/>
    <s v="N/A"/>
    <s v="None"/>
    <n v="0"/>
    <n v="28"/>
    <n v="476.56"/>
    <n v="79.400000000000006"/>
    <x v="0"/>
    <x v="2"/>
    <x v="1"/>
    <n v="143"/>
    <x v="0"/>
  </r>
  <r>
    <x v="184"/>
    <n v="76"/>
    <s v="Female"/>
    <s v="Single"/>
    <x v="4"/>
    <s v="Branch-Midtown"/>
    <s v="Retired"/>
    <s v="2022-05-14"/>
    <n v="4.0999999999999996"/>
    <x v="1"/>
    <n v="4"/>
    <n v="83818.100000000006"/>
    <n v="46494.400000000001"/>
    <n v="636"/>
    <x v="0"/>
    <x v="5"/>
    <n v="1686935.43"/>
    <s v="Closed"/>
    <s v="Credit Only"/>
    <n v="117700.55"/>
    <n v="4"/>
    <n v="14049.34"/>
    <n v="96.5"/>
    <x v="0"/>
    <x v="0"/>
    <x v="4"/>
    <n v="381"/>
    <x v="0"/>
  </r>
  <r>
    <x v="185"/>
    <n v="61"/>
    <s v="Male"/>
    <s v="Widowed"/>
    <x v="4"/>
    <s v="Branch-Harborview"/>
    <s v="Self-Employed"/>
    <s v="2025-08-11"/>
    <n v="0.9"/>
    <x v="4"/>
    <n v="1"/>
    <n v="64414.99"/>
    <n v="8000"/>
    <n v="519"/>
    <x v="4"/>
    <x v="1"/>
    <n v="0"/>
    <s v="N/A"/>
    <s v="Debit Only"/>
    <n v="0"/>
    <n v="22"/>
    <n v="4379.63"/>
    <n v="8.3000000000000007"/>
    <x v="0"/>
    <x v="4"/>
    <x v="4"/>
    <n v="387"/>
    <x v="1"/>
  </r>
  <r>
    <x v="186"/>
    <n v="43"/>
    <s v="Female"/>
    <s v="Widowed"/>
    <x v="2"/>
    <s v="Branch-Harborview"/>
    <s v="Self-Employed"/>
    <s v="2019-07-21"/>
    <n v="6.9"/>
    <x v="0"/>
    <n v="2"/>
    <n v="80122.23"/>
    <n v="48338.31"/>
    <n v="607"/>
    <x v="0"/>
    <x v="1"/>
    <n v="0"/>
    <s v="N/A"/>
    <s v="Credit Only"/>
    <n v="59075.8"/>
    <n v="52"/>
    <n v="3059.47"/>
    <n v="5.7"/>
    <x v="0"/>
    <x v="0"/>
    <x v="4"/>
    <n v="104"/>
    <x v="0"/>
  </r>
  <r>
    <x v="187"/>
    <n v="76"/>
    <s v="Male"/>
    <s v="Married"/>
    <x v="2"/>
    <s v="Branch-Midtown"/>
    <s v="Salaried"/>
    <s v="2022-08-02"/>
    <n v="3.9"/>
    <x v="2"/>
    <n v="2"/>
    <n v="0"/>
    <n v="75973.899999999994"/>
    <n v="639"/>
    <x v="0"/>
    <x v="1"/>
    <n v="0"/>
    <s v="N/A"/>
    <s v="Debit Only"/>
    <n v="0"/>
    <n v="15"/>
    <n v="6702.56"/>
    <n v="67.2"/>
    <x v="0"/>
    <x v="3"/>
    <x v="4"/>
    <n v="152"/>
    <x v="0"/>
  </r>
  <r>
    <x v="188"/>
    <n v="60"/>
    <s v="Male"/>
    <s v="Widowed"/>
    <x v="0"/>
    <s v="Branch-Southpark"/>
    <s v="Retired"/>
    <s v="2024-09-25"/>
    <n v="1.8"/>
    <x v="3"/>
    <n v="3"/>
    <n v="13409.14"/>
    <n v="60010.27"/>
    <n v="788"/>
    <x v="2"/>
    <x v="5"/>
    <n v="842747.62"/>
    <s v="Active"/>
    <s v="Credit Only"/>
    <n v="36145.230000000003"/>
    <n v="8"/>
    <n v="9663.33"/>
    <n v="88.1"/>
    <x v="3"/>
    <x v="3"/>
    <x v="0"/>
    <n v="111"/>
    <x v="0"/>
  </r>
  <r>
    <x v="189"/>
    <n v="53"/>
    <s v="Female"/>
    <s v="Married"/>
    <x v="4"/>
    <s v="Branch-Riverside"/>
    <s v="Salaried"/>
    <s v="2020-11-09"/>
    <n v="5.6"/>
    <x v="1"/>
    <n v="2"/>
    <n v="0"/>
    <n v="66523.679999999993"/>
    <n v="550"/>
    <x v="4"/>
    <x v="0"/>
    <n v="1825032.16"/>
    <s v="Closed"/>
    <s v="Debit Only"/>
    <n v="0"/>
    <n v="15"/>
    <n v="9803.67"/>
    <n v="40.200000000000003"/>
    <x v="0"/>
    <x v="1"/>
    <x v="4"/>
    <n v="112"/>
    <x v="0"/>
  </r>
  <r>
    <x v="190"/>
    <n v="39"/>
    <s v="Male"/>
    <s v="Married"/>
    <x v="3"/>
    <s v="Branch-Riverside"/>
    <s v="Freelancer"/>
    <s v="2026-01-28"/>
    <n v="0.4"/>
    <x v="1"/>
    <n v="5"/>
    <n v="212402.83"/>
    <n v="44317.05"/>
    <n v="616"/>
    <x v="0"/>
    <x v="0"/>
    <n v="1929888.32"/>
    <s v="Closed"/>
    <s v="Debit Only"/>
    <n v="0"/>
    <n v="3"/>
    <n v="12339.51"/>
    <n v="81.400000000000006"/>
    <x v="1"/>
    <x v="4"/>
    <x v="0"/>
    <n v="308"/>
    <x v="0"/>
  </r>
  <r>
    <x v="191"/>
    <n v="36"/>
    <s v="Female"/>
    <s v="Divorced"/>
    <x v="1"/>
    <s v="Branch-Eastwood"/>
    <s v="Retired"/>
    <s v="2022-03-04"/>
    <n v="4.3"/>
    <x v="0"/>
    <n v="5"/>
    <n v="71833.72"/>
    <n v="100149.73"/>
    <n v="698"/>
    <x v="1"/>
    <x v="5"/>
    <n v="1946356.27"/>
    <s v="Active"/>
    <s v="Credit Only"/>
    <n v="116680.58"/>
    <n v="24"/>
    <n v="7676.71"/>
    <n v="25.8"/>
    <x v="1"/>
    <x v="2"/>
    <x v="4"/>
    <n v="271"/>
    <x v="0"/>
  </r>
  <r>
    <x v="192"/>
    <n v="23"/>
    <s v="Male"/>
    <s v="Divorced"/>
    <x v="1"/>
    <s v="Branch-Harborview"/>
    <s v="Business Owner"/>
    <s v="2021-07-09"/>
    <n v="5"/>
    <x v="2"/>
    <n v="2"/>
    <n v="0"/>
    <n v="38979.800000000003"/>
    <n v="606"/>
    <x v="0"/>
    <x v="2"/>
    <n v="1804946.88"/>
    <s v="Active"/>
    <s v="Credit Only"/>
    <n v="181777.88"/>
    <n v="3"/>
    <n v="13389.45"/>
    <n v="11.8"/>
    <x v="0"/>
    <x v="0"/>
    <x v="1"/>
    <n v="400"/>
    <x v="0"/>
  </r>
  <r>
    <x v="193"/>
    <n v="24"/>
    <s v="Male"/>
    <s v="Married"/>
    <x v="0"/>
    <s v="Branch-Eastwood"/>
    <s v="Student"/>
    <s v="2019-03-14"/>
    <n v="7.3"/>
    <x v="1"/>
    <n v="4"/>
    <n v="0"/>
    <n v="30583.16"/>
    <n v="699"/>
    <x v="1"/>
    <x v="1"/>
    <n v="0"/>
    <s v="N/A"/>
    <s v="Credit Only"/>
    <n v="413700.77"/>
    <n v="28"/>
    <n v="3605.37"/>
    <n v="87"/>
    <x v="0"/>
    <x v="2"/>
    <x v="3"/>
    <n v="340"/>
    <x v="0"/>
  </r>
  <r>
    <x v="194"/>
    <n v="58"/>
    <s v="Female"/>
    <s v="Divorced"/>
    <x v="4"/>
    <s v="Branch-Northgate"/>
    <s v="Self-Employed"/>
    <s v="2019-01-15"/>
    <n v="7.5"/>
    <x v="3"/>
    <n v="5"/>
    <n v="122746.25"/>
    <n v="73152.13"/>
    <n v="506"/>
    <x v="4"/>
    <x v="4"/>
    <n v="963070.67"/>
    <s v="Active"/>
    <s v="Both"/>
    <n v="207125.11"/>
    <n v="24"/>
    <n v="4670.17"/>
    <n v="51.3"/>
    <x v="0"/>
    <x v="1"/>
    <x v="1"/>
    <n v="95"/>
    <x v="0"/>
  </r>
  <r>
    <x v="195"/>
    <n v="49"/>
    <s v="Female"/>
    <s v="Married"/>
    <x v="3"/>
    <s v="Branch-Southpark"/>
    <s v="Freelancer"/>
    <s v="2026-01-19"/>
    <n v="0.4"/>
    <x v="4"/>
    <n v="3"/>
    <n v="27531.63"/>
    <n v="30420.01"/>
    <n v="810"/>
    <x v="3"/>
    <x v="1"/>
    <n v="0"/>
    <s v="N/A"/>
    <s v="Credit Only"/>
    <n v="87596.78"/>
    <n v="49"/>
    <n v="1479.39"/>
    <n v="79.8"/>
    <x v="2"/>
    <x v="1"/>
    <x v="4"/>
    <n v="7"/>
    <x v="1"/>
  </r>
  <r>
    <x v="196"/>
    <n v="69"/>
    <s v="Female"/>
    <s v="Single"/>
    <x v="3"/>
    <s v="Branch-Southpark"/>
    <s v="Student"/>
    <s v="2024-03-28"/>
    <n v="2.2999999999999998"/>
    <x v="1"/>
    <n v="1"/>
    <n v="0"/>
    <n v="65694.45"/>
    <n v="644"/>
    <x v="0"/>
    <x v="1"/>
    <n v="0"/>
    <s v="N/A"/>
    <s v="None"/>
    <n v="0"/>
    <n v="21"/>
    <n v="14551.06"/>
    <n v="53"/>
    <x v="2"/>
    <x v="3"/>
    <x v="4"/>
    <n v="391"/>
    <x v="0"/>
  </r>
  <r>
    <x v="197"/>
    <n v="67"/>
    <s v="Female"/>
    <s v="Divorced"/>
    <x v="2"/>
    <s v="Branch-Lakeview"/>
    <s v="Freelancer"/>
    <s v="2020-03-16"/>
    <n v="6.3"/>
    <x v="0"/>
    <n v="4"/>
    <n v="956.49"/>
    <n v="8000"/>
    <n v="800"/>
    <x v="3"/>
    <x v="5"/>
    <n v="1500488.01"/>
    <s v="Closed"/>
    <s v="Credit Only"/>
    <n v="403537.07"/>
    <n v="51"/>
    <n v="11927.38"/>
    <n v="55.9"/>
    <x v="0"/>
    <x v="2"/>
    <x v="1"/>
    <n v="273"/>
    <x v="0"/>
  </r>
  <r>
    <x v="198"/>
    <n v="61"/>
    <s v="Female"/>
    <s v="Single"/>
    <x v="3"/>
    <s v="Branch-Northgate"/>
    <s v="Business Owner"/>
    <s v="2023-03-19"/>
    <n v="3.3"/>
    <x v="1"/>
    <n v="1"/>
    <n v="74330.880000000005"/>
    <n v="54670.85"/>
    <n v="761"/>
    <x v="2"/>
    <x v="0"/>
    <n v="1222307.32"/>
    <s v="Active"/>
    <s v="Credit Only"/>
    <n v="62717.55"/>
    <n v="18"/>
    <n v="6367.96"/>
    <n v="24.2"/>
    <x v="0"/>
    <x v="4"/>
    <x v="1"/>
    <n v="343"/>
    <x v="0"/>
  </r>
  <r>
    <x v="199"/>
    <n v="21"/>
    <s v="Male"/>
    <s v="Single"/>
    <x v="3"/>
    <s v="Branch-Midtown"/>
    <s v="Retired"/>
    <s v="2021-06-07"/>
    <n v="5.0999999999999996"/>
    <x v="3"/>
    <n v="1"/>
    <n v="13322.53"/>
    <n v="60129.21"/>
    <n v="663"/>
    <x v="0"/>
    <x v="1"/>
    <n v="0"/>
    <s v="N/A"/>
    <s v="Both"/>
    <n v="417630.61"/>
    <n v="12"/>
    <n v="1589.27"/>
    <n v="38.1"/>
    <x v="0"/>
    <x v="4"/>
    <x v="1"/>
    <n v="216"/>
    <x v="1"/>
  </r>
  <r>
    <x v="200"/>
    <n v="54"/>
    <s v="Male"/>
    <s v="Married"/>
    <x v="4"/>
    <s v="Branch-Northgate"/>
    <s v="Salaried"/>
    <s v="2024-12-07"/>
    <n v="1.6"/>
    <x v="1"/>
    <n v="1"/>
    <n v="34956.870000000003"/>
    <n v="33208.800000000003"/>
    <n v="693"/>
    <x v="1"/>
    <x v="5"/>
    <n v="534148.4"/>
    <s v="Closed"/>
    <s v="None"/>
    <n v="0"/>
    <n v="54"/>
    <n v="929.79"/>
    <n v="8.6999999999999993"/>
    <x v="4"/>
    <x v="4"/>
    <x v="2"/>
    <n v="272"/>
    <x v="1"/>
  </r>
  <r>
    <x v="201"/>
    <n v="68"/>
    <s v="Female"/>
    <s v="Married"/>
    <x v="0"/>
    <s v="Branch-Northgate"/>
    <s v="Retired"/>
    <s v="2022-06-16"/>
    <n v="4"/>
    <x v="0"/>
    <n v="5"/>
    <n v="20.59"/>
    <n v="47191.08"/>
    <n v="585"/>
    <x v="0"/>
    <x v="1"/>
    <n v="0"/>
    <s v="N/A"/>
    <s v="None"/>
    <n v="0"/>
    <n v="6"/>
    <n v="1308.9100000000001"/>
    <n v="4.8"/>
    <x v="0"/>
    <x v="1"/>
    <x v="4"/>
    <n v="356"/>
    <x v="0"/>
  </r>
  <r>
    <x v="202"/>
    <n v="63"/>
    <s v="Male"/>
    <s v="Divorced"/>
    <x v="3"/>
    <s v="Branch-Greenfield"/>
    <s v="Business Owner"/>
    <s v="2020-06-26"/>
    <n v="6"/>
    <x v="2"/>
    <n v="4"/>
    <n v="43627.97"/>
    <n v="13356.54"/>
    <n v="627"/>
    <x v="0"/>
    <x v="4"/>
    <n v="1468975.04"/>
    <s v="Active"/>
    <s v="None"/>
    <n v="0"/>
    <n v="14"/>
    <n v="13629.44"/>
    <n v="77.8"/>
    <x v="4"/>
    <x v="2"/>
    <x v="4"/>
    <n v="267"/>
    <x v="1"/>
  </r>
  <r>
    <x v="203"/>
    <n v="34"/>
    <s v="Female"/>
    <s v="Widowed"/>
    <x v="3"/>
    <s v="Branch-Oakridge"/>
    <s v="Freelancer"/>
    <s v="2019-11-24"/>
    <n v="6.6"/>
    <x v="2"/>
    <n v="1"/>
    <n v="0"/>
    <n v="32677"/>
    <n v="633"/>
    <x v="0"/>
    <x v="1"/>
    <n v="0"/>
    <s v="N/A"/>
    <s v="Both"/>
    <n v="92337.16"/>
    <n v="2"/>
    <n v="7636.6"/>
    <n v="71.8"/>
    <x v="1"/>
    <x v="4"/>
    <x v="4"/>
    <n v="194"/>
    <x v="0"/>
  </r>
  <r>
    <x v="204"/>
    <n v="70"/>
    <s v="Female"/>
    <s v="Widowed"/>
    <x v="0"/>
    <s v="Branch-Northgate"/>
    <s v="Student"/>
    <s v="2019-06-10"/>
    <n v="7.1"/>
    <x v="0"/>
    <n v="4"/>
    <n v="200822.99"/>
    <n v="56738.47"/>
    <n v="634"/>
    <x v="0"/>
    <x v="5"/>
    <n v="1362145.01"/>
    <s v="Active"/>
    <s v="Both"/>
    <n v="299615.78000000003"/>
    <n v="0"/>
    <n v="11337.03"/>
    <n v="99"/>
    <x v="2"/>
    <x v="2"/>
    <x v="2"/>
    <n v="81"/>
    <x v="0"/>
  </r>
  <r>
    <x v="205"/>
    <n v="56"/>
    <s v="Male"/>
    <s v="Single"/>
    <x v="1"/>
    <s v="Branch-Harborview"/>
    <s v="Business Owner"/>
    <s v="2025-04-18"/>
    <n v="1.2"/>
    <x v="2"/>
    <n v="2"/>
    <n v="0"/>
    <n v="60101.35"/>
    <n v="743"/>
    <x v="2"/>
    <x v="3"/>
    <n v="1747996.38"/>
    <s v="Active"/>
    <s v="Debit Only"/>
    <n v="0"/>
    <n v="16"/>
    <n v="7757.76"/>
    <n v="33"/>
    <x v="0"/>
    <x v="2"/>
    <x v="1"/>
    <n v="103"/>
    <x v="0"/>
  </r>
  <r>
    <x v="206"/>
    <n v="52"/>
    <s v="Male"/>
    <s v="Widowed"/>
    <x v="0"/>
    <s v="Branch-Eastwood"/>
    <s v="Self-Employed"/>
    <s v="2020-04-24"/>
    <n v="6.2"/>
    <x v="1"/>
    <n v="1"/>
    <n v="7109.59"/>
    <n v="69589.8"/>
    <n v="811"/>
    <x v="3"/>
    <x v="4"/>
    <n v="742121.61"/>
    <s v="Active"/>
    <s v="Credit Only"/>
    <n v="46255.38"/>
    <n v="10"/>
    <n v="10938.59"/>
    <n v="94.3"/>
    <x v="4"/>
    <x v="0"/>
    <x v="4"/>
    <n v="264"/>
    <x v="0"/>
  </r>
  <r>
    <x v="207"/>
    <n v="31"/>
    <s v="Male"/>
    <s v="Married"/>
    <x v="2"/>
    <s v="Branch-Midtown"/>
    <s v="Student"/>
    <s v="2021-07-10"/>
    <n v="5"/>
    <x v="1"/>
    <n v="5"/>
    <n v="48689.57"/>
    <n v="86492.61"/>
    <n v="780"/>
    <x v="2"/>
    <x v="1"/>
    <n v="0"/>
    <s v="N/A"/>
    <s v="Credit Only"/>
    <n v="377020.43"/>
    <n v="22"/>
    <n v="3242.63"/>
    <n v="24.8"/>
    <x v="1"/>
    <x v="2"/>
    <x v="4"/>
    <n v="1"/>
    <x v="0"/>
  </r>
  <r>
    <x v="208"/>
    <n v="29"/>
    <s v="Female"/>
    <s v="Single"/>
    <x v="3"/>
    <s v="Branch-Oakridge"/>
    <s v="Business Owner"/>
    <s v="2023-04-19"/>
    <n v="3.2"/>
    <x v="2"/>
    <n v="4"/>
    <n v="0"/>
    <n v="64219.94"/>
    <n v="615"/>
    <x v="0"/>
    <x v="1"/>
    <n v="0"/>
    <s v="N/A"/>
    <s v="None"/>
    <n v="0"/>
    <n v="60"/>
    <n v="3785.22"/>
    <n v="83.1"/>
    <x v="0"/>
    <x v="4"/>
    <x v="2"/>
    <n v="371"/>
    <x v="0"/>
  </r>
  <r>
    <x v="209"/>
    <n v="19"/>
    <s v="Female"/>
    <s v="Divorced"/>
    <x v="3"/>
    <s v="Branch-Eastwood"/>
    <s v="Freelancer"/>
    <s v="2019-12-27"/>
    <n v="6.5"/>
    <x v="1"/>
    <n v="2"/>
    <n v="4775"/>
    <n v="20503.47"/>
    <n v="831"/>
    <x v="3"/>
    <x v="1"/>
    <n v="0"/>
    <s v="N/A"/>
    <s v="Credit Only"/>
    <n v="226661.64"/>
    <n v="26"/>
    <n v="318.29000000000002"/>
    <n v="44"/>
    <x v="0"/>
    <x v="0"/>
    <x v="2"/>
    <n v="325"/>
    <x v="0"/>
  </r>
  <r>
    <x v="210"/>
    <n v="77"/>
    <s v="Male"/>
    <s v="Single"/>
    <x v="3"/>
    <s v="Branch-Northgate"/>
    <s v="Retired"/>
    <s v="2023-02-22"/>
    <n v="3.4"/>
    <x v="4"/>
    <n v="4"/>
    <n v="171187.98"/>
    <n v="44988.11"/>
    <n v="448"/>
    <x v="4"/>
    <x v="2"/>
    <n v="2010923.29"/>
    <s v="Closed"/>
    <s v="None"/>
    <n v="0"/>
    <n v="46"/>
    <n v="2835.99"/>
    <n v="62"/>
    <x v="2"/>
    <x v="0"/>
    <x v="3"/>
    <n v="109"/>
    <x v="0"/>
  </r>
  <r>
    <x v="211"/>
    <n v="72"/>
    <s v="Female"/>
    <s v="Divorced"/>
    <x v="0"/>
    <s v="Branch-Oakridge"/>
    <s v="Business Owner"/>
    <s v="2024-02-04"/>
    <n v="2.4"/>
    <x v="1"/>
    <n v="2"/>
    <n v="34720.68"/>
    <n v="46475.54"/>
    <n v="663"/>
    <x v="0"/>
    <x v="1"/>
    <n v="0"/>
    <s v="N/A"/>
    <s v="Debit Only"/>
    <n v="0"/>
    <n v="45"/>
    <n v="2333.3200000000002"/>
    <n v="19.7"/>
    <x v="1"/>
    <x v="0"/>
    <x v="4"/>
    <n v="145"/>
    <x v="0"/>
  </r>
  <r>
    <x v="212"/>
    <n v="60"/>
    <s v="Female"/>
    <s v="Divorced"/>
    <x v="0"/>
    <s v="Branch-Northgate"/>
    <s v="Business Owner"/>
    <s v="2023-05-02"/>
    <n v="3.2"/>
    <x v="1"/>
    <n v="4"/>
    <n v="86185.02"/>
    <n v="41652.14"/>
    <n v="649"/>
    <x v="0"/>
    <x v="1"/>
    <n v="0"/>
    <s v="N/A"/>
    <s v="Credit Only"/>
    <n v="364408.29"/>
    <n v="50"/>
    <n v="5901.78"/>
    <n v="92.8"/>
    <x v="0"/>
    <x v="1"/>
    <x v="1"/>
    <n v="285"/>
    <x v="0"/>
  </r>
  <r>
    <x v="213"/>
    <n v="25"/>
    <s v="Female"/>
    <s v="Widowed"/>
    <x v="2"/>
    <s v="Branch-Oakridge"/>
    <s v="Retired"/>
    <s v="2024-11-17"/>
    <n v="1.6"/>
    <x v="1"/>
    <n v="2"/>
    <n v="73011.14"/>
    <n v="47507.67"/>
    <n v="606"/>
    <x v="0"/>
    <x v="4"/>
    <n v="936066.27"/>
    <s v="Active"/>
    <s v="None"/>
    <n v="0"/>
    <n v="18"/>
    <n v="1034.26"/>
    <n v="67.5"/>
    <x v="2"/>
    <x v="3"/>
    <x v="1"/>
    <n v="83"/>
    <x v="1"/>
  </r>
  <r>
    <x v="214"/>
    <n v="20"/>
    <s v="Male"/>
    <s v="Married"/>
    <x v="2"/>
    <s v="Branch-Oakridge"/>
    <s v="Business Owner"/>
    <s v="2022-05-04"/>
    <n v="4.2"/>
    <x v="4"/>
    <n v="3"/>
    <n v="18645.080000000002"/>
    <n v="25333.9"/>
    <n v="696"/>
    <x v="1"/>
    <x v="1"/>
    <n v="0"/>
    <s v="N/A"/>
    <s v="Both"/>
    <n v="405241.01"/>
    <n v="37"/>
    <n v="8106.92"/>
    <n v="51.3"/>
    <x v="0"/>
    <x v="4"/>
    <x v="3"/>
    <n v="372"/>
    <x v="0"/>
  </r>
  <r>
    <x v="215"/>
    <n v="37"/>
    <s v="Female"/>
    <s v="Single"/>
    <x v="1"/>
    <s v="Branch-Lakeview"/>
    <s v="Self-Employed"/>
    <s v="2019-09-22"/>
    <n v="6.8"/>
    <x v="0"/>
    <n v="5"/>
    <n v="56950.04"/>
    <n v="50739.19"/>
    <n v="643"/>
    <x v="0"/>
    <x v="3"/>
    <n v="1775221.27"/>
    <s v="Active"/>
    <s v="Credit Only"/>
    <n v="179823.32"/>
    <n v="17"/>
    <n v="3769.11"/>
    <n v="26.1"/>
    <x v="2"/>
    <x v="0"/>
    <x v="0"/>
    <n v="191"/>
    <x v="1"/>
  </r>
  <r>
    <x v="216"/>
    <n v="49"/>
    <s v="Male"/>
    <s v="Divorced"/>
    <x v="0"/>
    <s v="Branch-Downtown"/>
    <s v="Business Owner"/>
    <s v="2025-07-16"/>
    <n v="1"/>
    <x v="2"/>
    <n v="5"/>
    <n v="144415.71"/>
    <n v="66314.73"/>
    <n v="602"/>
    <x v="0"/>
    <x v="5"/>
    <n v="293745.09000000003"/>
    <s v="Active"/>
    <s v="Debit Only"/>
    <n v="0"/>
    <n v="29"/>
    <n v="11131.12"/>
    <n v="4.7"/>
    <x v="0"/>
    <x v="0"/>
    <x v="1"/>
    <n v="74"/>
    <x v="0"/>
  </r>
  <r>
    <x v="217"/>
    <n v="22"/>
    <s v="Female"/>
    <s v="Married"/>
    <x v="0"/>
    <s v="Branch-Riverside"/>
    <s v="Business Owner"/>
    <s v="2020-03-09"/>
    <n v="6.3"/>
    <x v="4"/>
    <n v="3"/>
    <n v="3511.53"/>
    <n v="64005.99"/>
    <n v="651"/>
    <x v="0"/>
    <x v="1"/>
    <n v="0"/>
    <s v="N/A"/>
    <s v="Debit Only"/>
    <n v="0"/>
    <n v="30"/>
    <n v="3594.86"/>
    <n v="22.6"/>
    <x v="4"/>
    <x v="3"/>
    <x v="1"/>
    <n v="164"/>
    <x v="0"/>
  </r>
  <r>
    <x v="218"/>
    <n v="63"/>
    <s v="Male"/>
    <s v="Widowed"/>
    <x v="2"/>
    <s v="Branch-Lakeview"/>
    <s v="Student"/>
    <s v="2021-01-16"/>
    <n v="5.5"/>
    <x v="1"/>
    <n v="2"/>
    <n v="32256.41"/>
    <n v="73017.56"/>
    <n v="683"/>
    <x v="1"/>
    <x v="2"/>
    <n v="2000579.76"/>
    <s v="Active"/>
    <s v="Credit Only"/>
    <n v="379907.52"/>
    <n v="37"/>
    <n v="7335.36"/>
    <n v="25.5"/>
    <x v="1"/>
    <x v="1"/>
    <x v="4"/>
    <n v="78"/>
    <x v="0"/>
  </r>
  <r>
    <x v="219"/>
    <n v="50"/>
    <s v="Male"/>
    <s v="Widowed"/>
    <x v="2"/>
    <s v="Branch-Harborview"/>
    <s v="Self-Employed"/>
    <s v="2025-05-05"/>
    <n v="1.2"/>
    <x v="1"/>
    <n v="1"/>
    <n v="196262.27"/>
    <n v="31899.75"/>
    <n v="646"/>
    <x v="0"/>
    <x v="1"/>
    <n v="0"/>
    <s v="N/A"/>
    <s v="None"/>
    <n v="0"/>
    <n v="11"/>
    <n v="10274.709999999999"/>
    <n v="44.9"/>
    <x v="1"/>
    <x v="1"/>
    <x v="1"/>
    <n v="154"/>
    <x v="1"/>
  </r>
  <r>
    <x v="220"/>
    <n v="20"/>
    <s v="Female"/>
    <s v="Married"/>
    <x v="3"/>
    <s v="Branch-Greenfield"/>
    <s v="Student"/>
    <s v="2025-07-31"/>
    <n v="0.9"/>
    <x v="1"/>
    <n v="1"/>
    <n v="130687.19"/>
    <n v="37917.08"/>
    <n v="617"/>
    <x v="0"/>
    <x v="1"/>
    <n v="0"/>
    <s v="N/A"/>
    <s v="Debit Only"/>
    <n v="0"/>
    <n v="10"/>
    <n v="14920.12"/>
    <n v="48.4"/>
    <x v="0"/>
    <x v="3"/>
    <x v="4"/>
    <n v="153"/>
    <x v="1"/>
  </r>
  <r>
    <x v="221"/>
    <n v="35"/>
    <s v="Female"/>
    <s v="Widowed"/>
    <x v="0"/>
    <s v="Branch-Hillcrest"/>
    <s v="Salaried"/>
    <s v="2019-06-24"/>
    <n v="7"/>
    <x v="0"/>
    <n v="2"/>
    <n v="0"/>
    <n v="52907.69"/>
    <n v="502"/>
    <x v="4"/>
    <x v="1"/>
    <n v="0"/>
    <s v="N/A"/>
    <s v="Both"/>
    <n v="265678.21000000002"/>
    <n v="26"/>
    <n v="12083.48"/>
    <n v="20.399999999999999"/>
    <x v="1"/>
    <x v="2"/>
    <x v="3"/>
    <n v="261"/>
    <x v="1"/>
  </r>
  <r>
    <x v="222"/>
    <n v="73"/>
    <s v="Female"/>
    <s v="Widowed"/>
    <x v="1"/>
    <s v="Branch-Hillcrest"/>
    <s v="Salaried"/>
    <s v="2018-05-18"/>
    <n v="8.1"/>
    <x v="1"/>
    <n v="1"/>
    <n v="73200.960000000006"/>
    <n v="52822.13"/>
    <n v="644"/>
    <x v="0"/>
    <x v="1"/>
    <n v="0"/>
    <s v="N/A"/>
    <s v="Credit Only"/>
    <n v="167936.59"/>
    <n v="34"/>
    <n v="11964.02"/>
    <n v="85.8"/>
    <x v="0"/>
    <x v="4"/>
    <x v="3"/>
    <n v="262"/>
    <x v="0"/>
  </r>
  <r>
    <x v="223"/>
    <n v="73"/>
    <s v="Female"/>
    <s v="Divorced"/>
    <x v="4"/>
    <s v="Branch-Harborview"/>
    <s v="Student"/>
    <s v="2019-11-22"/>
    <n v="6.6"/>
    <x v="4"/>
    <n v="1"/>
    <n v="0"/>
    <n v="46273.09"/>
    <n v="747"/>
    <x v="2"/>
    <x v="0"/>
    <n v="966221.62"/>
    <s v="Active"/>
    <s v="Both"/>
    <n v="371550.13"/>
    <n v="17"/>
    <n v="10961.69"/>
    <n v="71.599999999999994"/>
    <x v="0"/>
    <x v="0"/>
    <x v="2"/>
    <n v="260"/>
    <x v="0"/>
  </r>
  <r>
    <x v="224"/>
    <n v="70"/>
    <s v="Male"/>
    <s v="Divorced"/>
    <x v="0"/>
    <s v="Branch-Riverside"/>
    <s v="Student"/>
    <s v="2020-04-17"/>
    <n v="6.2"/>
    <x v="1"/>
    <n v="2"/>
    <n v="0"/>
    <n v="49466.58"/>
    <n v="577"/>
    <x v="4"/>
    <x v="3"/>
    <n v="782518.43"/>
    <s v="Active"/>
    <s v="Credit Only"/>
    <n v="261307.62"/>
    <n v="35"/>
    <n v="4259.33"/>
    <n v="74.7"/>
    <x v="0"/>
    <x v="0"/>
    <x v="1"/>
    <n v="167"/>
    <x v="0"/>
  </r>
  <r>
    <x v="225"/>
    <n v="33"/>
    <s v="Male"/>
    <s v="Married"/>
    <x v="3"/>
    <s v="Branch-Riverside"/>
    <s v="Student"/>
    <s v="2022-12-19"/>
    <n v="3.5"/>
    <x v="3"/>
    <n v="4"/>
    <n v="123581.11"/>
    <n v="51099.65"/>
    <n v="524"/>
    <x v="4"/>
    <x v="0"/>
    <n v="447876.83"/>
    <s v="Closed"/>
    <s v="None"/>
    <n v="0"/>
    <n v="27"/>
    <n v="4141.6499999999996"/>
    <n v="2.8"/>
    <x v="0"/>
    <x v="1"/>
    <x v="4"/>
    <n v="209"/>
    <x v="0"/>
  </r>
  <r>
    <x v="226"/>
    <n v="71"/>
    <s v="Female"/>
    <s v="Single"/>
    <x v="0"/>
    <s v="Branch-Midtown"/>
    <s v="Salaried"/>
    <s v="2026-04-09"/>
    <n v="0.2"/>
    <x v="0"/>
    <n v="3"/>
    <n v="17077.29"/>
    <n v="30944.52"/>
    <n v="524"/>
    <x v="4"/>
    <x v="5"/>
    <n v="1934894.33"/>
    <s v="Active"/>
    <s v="Debit Only"/>
    <n v="0"/>
    <n v="29"/>
    <n v="11018.36"/>
    <n v="43"/>
    <x v="1"/>
    <x v="0"/>
    <x v="0"/>
    <n v="83"/>
    <x v="0"/>
  </r>
  <r>
    <x v="227"/>
    <n v="49"/>
    <s v="Male"/>
    <s v="Single"/>
    <x v="4"/>
    <s v="Branch-Southpark"/>
    <s v="Business Owner"/>
    <s v="2021-06-06"/>
    <n v="5.0999999999999996"/>
    <x v="0"/>
    <n v="1"/>
    <n v="129258.33"/>
    <n v="33981.83"/>
    <n v="674"/>
    <x v="1"/>
    <x v="1"/>
    <n v="0"/>
    <s v="N/A"/>
    <s v="Credit Only"/>
    <n v="262091.74"/>
    <n v="23"/>
    <n v="8025.01"/>
    <n v="9.6"/>
    <x v="0"/>
    <x v="1"/>
    <x v="0"/>
    <n v="352"/>
    <x v="1"/>
  </r>
  <r>
    <x v="228"/>
    <n v="24"/>
    <s v="Male"/>
    <s v="Widowed"/>
    <x v="0"/>
    <s v="Branch-Eastwood"/>
    <s v="Business Owner"/>
    <s v="2025-12-20"/>
    <n v="0.5"/>
    <x v="1"/>
    <n v="4"/>
    <n v="123687.62"/>
    <n v="48900.03"/>
    <n v="784"/>
    <x v="2"/>
    <x v="5"/>
    <n v="1700877.09"/>
    <s v="Active"/>
    <s v="Debit Only"/>
    <n v="0"/>
    <n v="5"/>
    <n v="4357.5600000000004"/>
    <n v="2.2999999999999998"/>
    <x v="0"/>
    <x v="1"/>
    <x v="0"/>
    <n v="104"/>
    <x v="0"/>
  </r>
  <r>
    <x v="229"/>
    <n v="60"/>
    <s v="Male"/>
    <s v="Widowed"/>
    <x v="3"/>
    <s v="Branch-Northgate"/>
    <s v="Student"/>
    <s v="2018-11-22"/>
    <n v="7.6"/>
    <x v="4"/>
    <n v="1"/>
    <n v="4501.4799999999996"/>
    <n v="75964.98"/>
    <n v="435"/>
    <x v="4"/>
    <x v="5"/>
    <n v="689215.26"/>
    <s v="Active"/>
    <s v="None"/>
    <n v="0"/>
    <n v="60"/>
    <n v="855.08"/>
    <n v="7"/>
    <x v="0"/>
    <x v="0"/>
    <x v="0"/>
    <n v="96"/>
    <x v="0"/>
  </r>
  <r>
    <x v="230"/>
    <n v="20"/>
    <s v="Male"/>
    <s v="Widowed"/>
    <x v="3"/>
    <s v="Branch-Lakeview"/>
    <s v="Self-Employed"/>
    <s v="2025-11-27"/>
    <n v="0.6"/>
    <x v="1"/>
    <n v="4"/>
    <n v="100187.61"/>
    <n v="66818.45"/>
    <n v="711"/>
    <x v="1"/>
    <x v="1"/>
    <n v="0"/>
    <s v="N/A"/>
    <s v="None"/>
    <n v="0"/>
    <n v="48"/>
    <n v="11559.59"/>
    <n v="88.3"/>
    <x v="0"/>
    <x v="2"/>
    <x v="1"/>
    <n v="276"/>
    <x v="0"/>
  </r>
  <r>
    <x v="231"/>
    <n v="75"/>
    <s v="Female"/>
    <s v="Divorced"/>
    <x v="2"/>
    <s v="Branch-Downtown"/>
    <s v="Salaried"/>
    <s v="2025-10-24"/>
    <n v="0.7"/>
    <x v="1"/>
    <n v="3"/>
    <n v="75882.77"/>
    <n v="42851.39"/>
    <n v="629"/>
    <x v="0"/>
    <x v="1"/>
    <n v="0"/>
    <s v="N/A"/>
    <s v="Credit Only"/>
    <n v="104283.58"/>
    <n v="2"/>
    <n v="3796"/>
    <n v="52.7"/>
    <x v="0"/>
    <x v="0"/>
    <x v="1"/>
    <n v="109"/>
    <x v="0"/>
  </r>
  <r>
    <x v="232"/>
    <n v="44"/>
    <s v="Male"/>
    <s v="Divorced"/>
    <x v="2"/>
    <s v="Branch-Oakridge"/>
    <s v="Retired"/>
    <s v="2024-03-04"/>
    <n v="2.2999999999999998"/>
    <x v="0"/>
    <n v="2"/>
    <n v="57272.3"/>
    <n v="32464.38"/>
    <n v="599"/>
    <x v="0"/>
    <x v="0"/>
    <n v="216080.6"/>
    <s v="Closed"/>
    <s v="Both"/>
    <n v="128777.83"/>
    <n v="27"/>
    <n v="12280.55"/>
    <n v="53.7"/>
    <x v="0"/>
    <x v="1"/>
    <x v="3"/>
    <n v="319"/>
    <x v="0"/>
  </r>
  <r>
    <x v="233"/>
    <n v="51"/>
    <s v="Male"/>
    <s v="Widowed"/>
    <x v="2"/>
    <s v="Branch-Downtown"/>
    <s v="Business Owner"/>
    <s v="2019-04-27"/>
    <n v="7.2"/>
    <x v="4"/>
    <n v="3"/>
    <n v="172506.27"/>
    <n v="30825.14"/>
    <n v="684"/>
    <x v="1"/>
    <x v="2"/>
    <n v="131101.37"/>
    <s v="Active"/>
    <s v="Credit Only"/>
    <n v="402591.27"/>
    <n v="17"/>
    <n v="2348.02"/>
    <n v="54.7"/>
    <x v="4"/>
    <x v="2"/>
    <x v="3"/>
    <n v="33"/>
    <x v="0"/>
  </r>
  <r>
    <x v="234"/>
    <n v="64"/>
    <s v="Male"/>
    <s v="Single"/>
    <x v="3"/>
    <s v="Branch-Oakridge"/>
    <s v="Student"/>
    <s v="2025-02-02"/>
    <n v="1.4"/>
    <x v="2"/>
    <n v="1"/>
    <n v="6900.95"/>
    <n v="29649.19"/>
    <n v="673"/>
    <x v="1"/>
    <x v="4"/>
    <n v="1123727.53"/>
    <s v="Closed"/>
    <s v="None"/>
    <n v="0"/>
    <n v="42"/>
    <n v="8791.76"/>
    <n v="86.1"/>
    <x v="0"/>
    <x v="2"/>
    <x v="0"/>
    <n v="30"/>
    <x v="0"/>
  </r>
  <r>
    <x v="235"/>
    <n v="70"/>
    <s v="Male"/>
    <s v="Married"/>
    <x v="0"/>
    <s v="Branch-Eastwood"/>
    <s v="Freelancer"/>
    <s v="2018-08-26"/>
    <n v="7.8"/>
    <x v="1"/>
    <n v="4"/>
    <n v="177419.76"/>
    <n v="30209.82"/>
    <n v="663"/>
    <x v="0"/>
    <x v="2"/>
    <n v="688771.31"/>
    <s v="Closed"/>
    <s v="Both"/>
    <n v="150546.5"/>
    <n v="14"/>
    <n v="1369.75"/>
    <n v="34.6"/>
    <x v="0"/>
    <x v="2"/>
    <x v="4"/>
    <n v="55"/>
    <x v="0"/>
  </r>
  <r>
    <x v="236"/>
    <n v="71"/>
    <s v="Female"/>
    <s v="Single"/>
    <x v="1"/>
    <s v="Branch-Downtown"/>
    <s v="Self-Employed"/>
    <s v="2023-11-21"/>
    <n v="2.6"/>
    <x v="1"/>
    <n v="1"/>
    <n v="0"/>
    <n v="44843.57"/>
    <n v="463"/>
    <x v="4"/>
    <x v="3"/>
    <n v="547485.43000000005"/>
    <s v="Active"/>
    <s v="Credit Only"/>
    <n v="98756.15"/>
    <n v="58"/>
    <n v="5192.16"/>
    <n v="36.4"/>
    <x v="0"/>
    <x v="3"/>
    <x v="4"/>
    <n v="356"/>
    <x v="1"/>
  </r>
  <r>
    <x v="237"/>
    <n v="77"/>
    <s v="Female"/>
    <s v="Single"/>
    <x v="4"/>
    <s v="Branch-Midtown"/>
    <s v="Student"/>
    <s v="2023-06-22"/>
    <n v="3"/>
    <x v="4"/>
    <n v="1"/>
    <n v="43477.64"/>
    <n v="80708.95"/>
    <n v="791"/>
    <x v="2"/>
    <x v="1"/>
    <n v="0"/>
    <s v="N/A"/>
    <s v="Credit Only"/>
    <n v="154742.79"/>
    <n v="1"/>
    <n v="11852.99"/>
    <n v="54.6"/>
    <x v="0"/>
    <x v="4"/>
    <x v="1"/>
    <n v="68"/>
    <x v="0"/>
  </r>
  <r>
    <x v="238"/>
    <n v="57"/>
    <s v="Female"/>
    <s v="Single"/>
    <x v="3"/>
    <s v="Branch-Southpark"/>
    <s v="Student"/>
    <s v="2022-02-09"/>
    <n v="4.4000000000000004"/>
    <x v="2"/>
    <n v="5"/>
    <n v="61392.11"/>
    <n v="51646.13"/>
    <n v="546"/>
    <x v="4"/>
    <x v="2"/>
    <n v="97078.63"/>
    <s v="Active"/>
    <s v="Both"/>
    <n v="181142.59"/>
    <n v="16"/>
    <n v="7541.69"/>
    <n v="91.4"/>
    <x v="1"/>
    <x v="4"/>
    <x v="1"/>
    <n v="87"/>
    <x v="0"/>
  </r>
  <r>
    <x v="239"/>
    <n v="70"/>
    <s v="Female"/>
    <s v="Divorced"/>
    <x v="1"/>
    <s v="Branch-Lakeview"/>
    <s v="Salaried"/>
    <s v="2026-03-13"/>
    <n v="0.3"/>
    <x v="1"/>
    <n v="4"/>
    <n v="163053.47"/>
    <n v="22370.61"/>
    <n v="709"/>
    <x v="1"/>
    <x v="1"/>
    <n v="0"/>
    <s v="N/A"/>
    <s v="Credit Only"/>
    <n v="163865.37"/>
    <n v="34"/>
    <n v="11373.15"/>
    <n v="80.7"/>
    <x v="0"/>
    <x v="3"/>
    <x v="4"/>
    <n v="13"/>
    <x v="0"/>
  </r>
  <r>
    <x v="240"/>
    <n v="56"/>
    <s v="Female"/>
    <s v="Divorced"/>
    <x v="4"/>
    <s v="Branch-Westfield"/>
    <s v="Retired"/>
    <s v="2026-05-07"/>
    <n v="0.1"/>
    <x v="1"/>
    <n v="3"/>
    <n v="60390.23"/>
    <n v="53795.82"/>
    <n v="582"/>
    <x v="0"/>
    <x v="1"/>
    <n v="0"/>
    <s v="N/A"/>
    <s v="Debit Only"/>
    <n v="0"/>
    <n v="24"/>
    <n v="1983.49"/>
    <n v="41.1"/>
    <x v="0"/>
    <x v="2"/>
    <x v="2"/>
    <n v="218"/>
    <x v="0"/>
  </r>
  <r>
    <x v="241"/>
    <n v="56"/>
    <s v="Female"/>
    <s v="Divorced"/>
    <x v="4"/>
    <s v="Branch-Northgate"/>
    <s v="Student"/>
    <s v="2019-01-22"/>
    <n v="7.4"/>
    <x v="2"/>
    <n v="1"/>
    <n v="0"/>
    <n v="50610.52"/>
    <n v="723"/>
    <x v="1"/>
    <x v="1"/>
    <n v="0"/>
    <s v="N/A"/>
    <s v="Credit Only"/>
    <n v="234181.83"/>
    <n v="44"/>
    <n v="1993.67"/>
    <n v="14.5"/>
    <x v="1"/>
    <x v="3"/>
    <x v="4"/>
    <n v="86"/>
    <x v="1"/>
  </r>
  <r>
    <x v="242"/>
    <n v="50"/>
    <s v="Male"/>
    <s v="Divorced"/>
    <x v="2"/>
    <s v="Branch-Northgate"/>
    <s v="Retired"/>
    <s v="2020-10-25"/>
    <n v="5.7"/>
    <x v="1"/>
    <n v="3"/>
    <n v="33273.67"/>
    <n v="25020.18"/>
    <n v="761"/>
    <x v="2"/>
    <x v="3"/>
    <n v="676550.97"/>
    <s v="Active"/>
    <s v="None"/>
    <n v="0"/>
    <n v="4"/>
    <n v="14090.63"/>
    <n v="3.3"/>
    <x v="2"/>
    <x v="2"/>
    <x v="0"/>
    <n v="23"/>
    <x v="1"/>
  </r>
  <r>
    <x v="243"/>
    <n v="51"/>
    <s v="Female"/>
    <s v="Single"/>
    <x v="4"/>
    <s v="Branch-Oakridge"/>
    <s v="Freelancer"/>
    <s v="2020-09-07"/>
    <n v="5.8"/>
    <x v="4"/>
    <n v="5"/>
    <n v="105774.41"/>
    <n v="22529.84"/>
    <n v="665"/>
    <x v="0"/>
    <x v="3"/>
    <n v="1440239.21"/>
    <s v="Active"/>
    <s v="Debit Only"/>
    <n v="0"/>
    <n v="40"/>
    <n v="3251.89"/>
    <n v="40.299999999999997"/>
    <x v="1"/>
    <x v="3"/>
    <x v="2"/>
    <n v="223"/>
    <x v="0"/>
  </r>
  <r>
    <x v="244"/>
    <n v="28"/>
    <s v="Female"/>
    <s v="Single"/>
    <x v="0"/>
    <s v="Branch-Oakridge"/>
    <s v="Retired"/>
    <s v="2025-04-27"/>
    <n v="1.2"/>
    <x v="4"/>
    <n v="2"/>
    <n v="103247.11"/>
    <n v="40401.980000000003"/>
    <n v="850"/>
    <x v="3"/>
    <x v="3"/>
    <n v="814596.21"/>
    <s v="Closed"/>
    <s v="Credit Only"/>
    <n v="175886.2"/>
    <n v="42"/>
    <n v="12577.04"/>
    <n v="25.2"/>
    <x v="1"/>
    <x v="4"/>
    <x v="4"/>
    <n v="337"/>
    <x v="0"/>
  </r>
  <r>
    <x v="245"/>
    <n v="69"/>
    <s v="Male"/>
    <s v="Single"/>
    <x v="2"/>
    <s v="Branch-Greenfield"/>
    <s v="Retired"/>
    <s v="2023-03-22"/>
    <n v="3.3"/>
    <x v="1"/>
    <n v="2"/>
    <n v="20885.240000000002"/>
    <n v="85149.78"/>
    <n v="567"/>
    <x v="4"/>
    <x v="1"/>
    <n v="0"/>
    <s v="N/A"/>
    <s v="Both"/>
    <n v="226975.4"/>
    <n v="59"/>
    <n v="2337.46"/>
    <n v="59.5"/>
    <x v="0"/>
    <x v="3"/>
    <x v="3"/>
    <n v="87"/>
    <x v="0"/>
  </r>
  <r>
    <x v="246"/>
    <n v="35"/>
    <s v="Female"/>
    <s v="Widowed"/>
    <x v="4"/>
    <s v="Branch-Riverside"/>
    <s v="Self-Employed"/>
    <s v="2025-09-07"/>
    <n v="0.8"/>
    <x v="2"/>
    <n v="4"/>
    <n v="1462.55"/>
    <n v="51328.21"/>
    <n v="727"/>
    <x v="1"/>
    <x v="0"/>
    <n v="628738.76"/>
    <s v="Defaulted"/>
    <s v="Debit Only"/>
    <n v="0"/>
    <n v="15"/>
    <n v="7627.03"/>
    <n v="40.200000000000003"/>
    <x v="0"/>
    <x v="1"/>
    <x v="1"/>
    <n v="15"/>
    <x v="0"/>
  </r>
  <r>
    <x v="247"/>
    <n v="20"/>
    <s v="Female"/>
    <s v="Married"/>
    <x v="2"/>
    <s v="Branch-Hillcrest"/>
    <s v="Freelancer"/>
    <s v="2024-06-25"/>
    <n v="2"/>
    <x v="4"/>
    <n v="2"/>
    <n v="6002.19"/>
    <n v="34604.839999999997"/>
    <n v="608"/>
    <x v="0"/>
    <x v="1"/>
    <n v="0"/>
    <s v="N/A"/>
    <s v="None"/>
    <n v="0"/>
    <n v="36"/>
    <n v="2318.1799999999998"/>
    <n v="18.5"/>
    <x v="1"/>
    <x v="0"/>
    <x v="1"/>
    <n v="282"/>
    <x v="0"/>
  </r>
  <r>
    <x v="248"/>
    <n v="50"/>
    <s v="Male"/>
    <s v="Divorced"/>
    <x v="0"/>
    <s v="Branch-Downtown"/>
    <s v="Business Owner"/>
    <s v="2025-08-22"/>
    <n v="0.9"/>
    <x v="4"/>
    <n v="3"/>
    <n v="47133.73"/>
    <n v="74115.05"/>
    <n v="619"/>
    <x v="0"/>
    <x v="1"/>
    <n v="0"/>
    <s v="N/A"/>
    <s v="Both"/>
    <n v="207576.53"/>
    <n v="49"/>
    <n v="10684.96"/>
    <n v="69.400000000000006"/>
    <x v="1"/>
    <x v="1"/>
    <x v="4"/>
    <n v="295"/>
    <x v="1"/>
  </r>
  <r>
    <x v="249"/>
    <n v="61"/>
    <s v="Male"/>
    <s v="Single"/>
    <x v="4"/>
    <s v="Branch-Northgate"/>
    <s v="Salaried"/>
    <s v="2023-03-15"/>
    <n v="3.3"/>
    <x v="4"/>
    <n v="2"/>
    <n v="0"/>
    <n v="40468.74"/>
    <n v="765"/>
    <x v="2"/>
    <x v="0"/>
    <n v="1027572.33"/>
    <s v="Active"/>
    <s v="Both"/>
    <n v="471520.19"/>
    <n v="45"/>
    <n v="12422"/>
    <n v="42.4"/>
    <x v="1"/>
    <x v="4"/>
    <x v="0"/>
    <n v="345"/>
    <x v="0"/>
  </r>
  <r>
    <x v="250"/>
    <n v="62"/>
    <s v="Female"/>
    <s v="Divorced"/>
    <x v="1"/>
    <s v="Branch-Hillcrest"/>
    <s v="Self-Employed"/>
    <s v="2022-04-15"/>
    <n v="4.2"/>
    <x v="1"/>
    <n v="3"/>
    <n v="26196.47"/>
    <n v="57736.72"/>
    <n v="493"/>
    <x v="4"/>
    <x v="1"/>
    <n v="0"/>
    <s v="N/A"/>
    <s v="Both"/>
    <n v="183886.78"/>
    <n v="33"/>
    <n v="4408.5200000000004"/>
    <n v="77.099999999999994"/>
    <x v="0"/>
    <x v="3"/>
    <x v="3"/>
    <n v="304"/>
    <x v="0"/>
  </r>
  <r>
    <x v="251"/>
    <n v="25"/>
    <s v="Female"/>
    <s v="Widowed"/>
    <x v="3"/>
    <s v="Branch-Eastwood"/>
    <s v="Salaried"/>
    <s v="2018-11-27"/>
    <n v="7.6"/>
    <x v="0"/>
    <n v="2"/>
    <n v="121112.12"/>
    <n v="9888.0400000000009"/>
    <n v="686"/>
    <x v="1"/>
    <x v="4"/>
    <n v="1151351.3799999999"/>
    <s v="Closed"/>
    <s v="None"/>
    <n v="0"/>
    <n v="58"/>
    <n v="3300.7"/>
    <n v="98.7"/>
    <x v="2"/>
    <x v="2"/>
    <x v="3"/>
    <n v="288"/>
    <x v="0"/>
  </r>
  <r>
    <x v="252"/>
    <n v="20"/>
    <s v="Female"/>
    <s v="Married"/>
    <x v="4"/>
    <s v="Branch-Eastwood"/>
    <s v="Self-Employed"/>
    <s v="2020-01-21"/>
    <n v="6.4"/>
    <x v="0"/>
    <n v="3"/>
    <n v="97364"/>
    <n v="66969.649999999994"/>
    <n v="666"/>
    <x v="0"/>
    <x v="1"/>
    <n v="0"/>
    <s v="N/A"/>
    <s v="Debit Only"/>
    <n v="0"/>
    <n v="6"/>
    <n v="14237.38"/>
    <n v="64.8"/>
    <x v="0"/>
    <x v="0"/>
    <x v="4"/>
    <n v="268"/>
    <x v="0"/>
  </r>
  <r>
    <x v="253"/>
    <n v="56"/>
    <s v="Male"/>
    <s v="Widowed"/>
    <x v="0"/>
    <s v="Branch-Hillcrest"/>
    <s v="Business Owner"/>
    <s v="2019-05-01"/>
    <n v="7.2"/>
    <x v="2"/>
    <n v="5"/>
    <n v="27996.78"/>
    <n v="18287.25"/>
    <n v="661"/>
    <x v="0"/>
    <x v="1"/>
    <n v="0"/>
    <s v="N/A"/>
    <s v="Credit Only"/>
    <n v="156921.32"/>
    <n v="50"/>
    <n v="11048.32"/>
    <n v="53"/>
    <x v="0"/>
    <x v="2"/>
    <x v="4"/>
    <n v="321"/>
    <x v="0"/>
  </r>
  <r>
    <x v="254"/>
    <n v="76"/>
    <s v="Male"/>
    <s v="Single"/>
    <x v="4"/>
    <s v="Branch-Hillcrest"/>
    <s v="Business Owner"/>
    <s v="2019-09-01"/>
    <n v="6.8"/>
    <x v="1"/>
    <n v="4"/>
    <n v="73599.649999999994"/>
    <n v="23275.71"/>
    <n v="796"/>
    <x v="2"/>
    <x v="1"/>
    <n v="0"/>
    <s v="N/A"/>
    <s v="Credit Only"/>
    <n v="264076.15000000002"/>
    <n v="0"/>
    <n v="7806.45"/>
    <n v="67.400000000000006"/>
    <x v="2"/>
    <x v="4"/>
    <x v="2"/>
    <n v="27"/>
    <x v="1"/>
  </r>
  <r>
    <x v="255"/>
    <n v="28"/>
    <s v="Female"/>
    <s v="Single"/>
    <x v="3"/>
    <s v="Branch-Westfield"/>
    <s v="Retired"/>
    <s v="2023-03-20"/>
    <n v="3.3"/>
    <x v="0"/>
    <n v="1"/>
    <n v="27455.759999999998"/>
    <n v="42398.85"/>
    <n v="850"/>
    <x v="3"/>
    <x v="1"/>
    <n v="0"/>
    <s v="N/A"/>
    <s v="None"/>
    <n v="0"/>
    <n v="4"/>
    <n v="4641.75"/>
    <n v="14.6"/>
    <x v="2"/>
    <x v="2"/>
    <x v="1"/>
    <n v="257"/>
    <x v="0"/>
  </r>
  <r>
    <x v="256"/>
    <n v="21"/>
    <s v="Female"/>
    <s v="Divorced"/>
    <x v="3"/>
    <s v="Branch-Oakridge"/>
    <s v="Self-Employed"/>
    <s v="2024-05-05"/>
    <n v="2.2000000000000002"/>
    <x v="1"/>
    <n v="4"/>
    <n v="195646.47"/>
    <n v="62089.8"/>
    <n v="649"/>
    <x v="0"/>
    <x v="2"/>
    <n v="873158.13"/>
    <s v="Defaulted"/>
    <s v="Credit Only"/>
    <n v="118079.02"/>
    <n v="50"/>
    <n v="9385.16"/>
    <n v="68.400000000000006"/>
    <x v="0"/>
    <x v="0"/>
    <x v="1"/>
    <n v="325"/>
    <x v="0"/>
  </r>
  <r>
    <x v="257"/>
    <n v="31"/>
    <s v="Female"/>
    <s v="Widowed"/>
    <x v="1"/>
    <s v="Branch-Southpark"/>
    <s v="Business Owner"/>
    <s v="2020-03-04"/>
    <n v="6.3"/>
    <x v="2"/>
    <n v="4"/>
    <n v="52503.08"/>
    <n v="44856.22"/>
    <n v="706"/>
    <x v="1"/>
    <x v="5"/>
    <n v="550594.09"/>
    <s v="Active"/>
    <s v="None"/>
    <n v="0"/>
    <n v="1"/>
    <n v="4048.69"/>
    <n v="2.1"/>
    <x v="0"/>
    <x v="1"/>
    <x v="1"/>
    <n v="354"/>
    <x v="0"/>
  </r>
  <r>
    <x v="258"/>
    <n v="60"/>
    <s v="Female"/>
    <s v="Widowed"/>
    <x v="1"/>
    <s v="Branch-Oakridge"/>
    <s v="Business Owner"/>
    <s v="2026-03-03"/>
    <n v="0.3"/>
    <x v="1"/>
    <n v="2"/>
    <n v="84239.039999999994"/>
    <n v="23679.78"/>
    <n v="713"/>
    <x v="1"/>
    <x v="1"/>
    <n v="0"/>
    <s v="N/A"/>
    <s v="Debit Only"/>
    <n v="0"/>
    <n v="44"/>
    <n v="9862.56"/>
    <n v="13.9"/>
    <x v="0"/>
    <x v="1"/>
    <x v="4"/>
    <n v="169"/>
    <x v="1"/>
  </r>
  <r>
    <x v="259"/>
    <n v="56"/>
    <s v="Male"/>
    <s v="Divorced"/>
    <x v="2"/>
    <s v="Branch-Downtown"/>
    <s v="Retired"/>
    <s v="2020-04-01"/>
    <n v="6.2"/>
    <x v="1"/>
    <n v="2"/>
    <n v="0"/>
    <n v="41246.53"/>
    <n v="700"/>
    <x v="1"/>
    <x v="0"/>
    <n v="438499.58"/>
    <s v="Closed"/>
    <s v="Both"/>
    <n v="401390.81"/>
    <n v="34"/>
    <n v="4102.1000000000004"/>
    <n v="82"/>
    <x v="0"/>
    <x v="4"/>
    <x v="4"/>
    <n v="55"/>
    <x v="0"/>
  </r>
  <r>
    <x v="260"/>
    <n v="55"/>
    <s v="Female"/>
    <s v="Widowed"/>
    <x v="2"/>
    <s v="Branch-Northgate"/>
    <s v="Student"/>
    <s v="2019-06-29"/>
    <n v="7"/>
    <x v="4"/>
    <n v="2"/>
    <n v="131225.98000000001"/>
    <n v="78910.509999999995"/>
    <n v="783"/>
    <x v="2"/>
    <x v="3"/>
    <n v="1159370.03"/>
    <s v="Active"/>
    <s v="Both"/>
    <n v="318765.36"/>
    <n v="27"/>
    <n v="4589.67"/>
    <n v="72.099999999999994"/>
    <x v="0"/>
    <x v="1"/>
    <x v="4"/>
    <n v="331"/>
    <x v="1"/>
  </r>
  <r>
    <x v="261"/>
    <n v="71"/>
    <s v="Male"/>
    <s v="Single"/>
    <x v="4"/>
    <s v="Branch-Greenfield"/>
    <s v="Self-Employed"/>
    <s v="2021-06-12"/>
    <n v="5.0999999999999996"/>
    <x v="3"/>
    <n v="1"/>
    <n v="72878.8"/>
    <n v="14312.91"/>
    <n v="601"/>
    <x v="0"/>
    <x v="2"/>
    <n v="234552.19"/>
    <s v="Closed"/>
    <s v="Credit Only"/>
    <n v="357907.06"/>
    <n v="57"/>
    <n v="5532.89"/>
    <n v="3.4"/>
    <x v="0"/>
    <x v="0"/>
    <x v="1"/>
    <n v="67"/>
    <x v="0"/>
  </r>
  <r>
    <x v="262"/>
    <n v="59"/>
    <s v="Male"/>
    <s v="Divorced"/>
    <x v="0"/>
    <s v="Branch-Downtown"/>
    <s v="Business Owner"/>
    <s v="2020-11-29"/>
    <n v="5.6"/>
    <x v="1"/>
    <n v="3"/>
    <n v="0"/>
    <n v="29380.55"/>
    <n v="513"/>
    <x v="4"/>
    <x v="5"/>
    <n v="1585943.92"/>
    <s v="Active"/>
    <s v="Both"/>
    <n v="331802.19"/>
    <n v="27"/>
    <n v="4950.9799999999996"/>
    <n v="12.2"/>
    <x v="0"/>
    <x v="4"/>
    <x v="1"/>
    <n v="142"/>
    <x v="0"/>
  </r>
  <r>
    <x v="263"/>
    <n v="35"/>
    <s v="Male"/>
    <s v="Married"/>
    <x v="0"/>
    <s v="Branch-Eastwood"/>
    <s v="Freelancer"/>
    <s v="2025-10-26"/>
    <n v="0.7"/>
    <x v="2"/>
    <n v="1"/>
    <n v="132817.07"/>
    <n v="11747.9"/>
    <n v="850"/>
    <x v="3"/>
    <x v="5"/>
    <n v="1300010.6299999999"/>
    <s v="Active"/>
    <s v="None"/>
    <n v="0"/>
    <n v="43"/>
    <n v="5194.88"/>
    <n v="19.2"/>
    <x v="0"/>
    <x v="1"/>
    <x v="1"/>
    <n v="31"/>
    <x v="0"/>
  </r>
  <r>
    <x v="264"/>
    <n v="22"/>
    <s v="Male"/>
    <s v="Single"/>
    <x v="4"/>
    <s v="Branch-Lakeview"/>
    <s v="Business Owner"/>
    <s v="2019-04-17"/>
    <n v="7.2"/>
    <x v="2"/>
    <n v="5"/>
    <n v="0"/>
    <n v="51192.21"/>
    <n v="643"/>
    <x v="0"/>
    <x v="0"/>
    <n v="1762858.73"/>
    <s v="Closed"/>
    <s v="Both"/>
    <n v="315033.68"/>
    <n v="46"/>
    <n v="5287.7"/>
    <n v="1.6"/>
    <x v="1"/>
    <x v="1"/>
    <x v="1"/>
    <n v="81"/>
    <x v="0"/>
  </r>
  <r>
    <x v="265"/>
    <n v="25"/>
    <s v="Male"/>
    <s v="Divorced"/>
    <x v="2"/>
    <s v="Branch-Southpark"/>
    <s v="Business Owner"/>
    <s v="2019-04-25"/>
    <n v="7.2"/>
    <x v="0"/>
    <n v="5"/>
    <n v="104506.44"/>
    <n v="22960.89"/>
    <n v="763"/>
    <x v="2"/>
    <x v="4"/>
    <n v="2376738.5699999998"/>
    <s v="Active"/>
    <s v="Both"/>
    <n v="185654.07"/>
    <n v="16"/>
    <n v="7456.42"/>
    <n v="84.9"/>
    <x v="0"/>
    <x v="2"/>
    <x v="1"/>
    <n v="135"/>
    <x v="0"/>
  </r>
  <r>
    <x v="266"/>
    <n v="38"/>
    <s v="Male"/>
    <s v="Single"/>
    <x v="3"/>
    <s v="Branch-Northgate"/>
    <s v="Student"/>
    <s v="2023-09-18"/>
    <n v="2.8"/>
    <x v="1"/>
    <n v="3"/>
    <n v="162946.12"/>
    <n v="61031.199999999997"/>
    <n v="684"/>
    <x v="1"/>
    <x v="3"/>
    <n v="2281950.6800000002"/>
    <s v="Active"/>
    <s v="Credit Only"/>
    <n v="20697.5"/>
    <n v="30"/>
    <n v="5441.34"/>
    <n v="85.8"/>
    <x v="0"/>
    <x v="4"/>
    <x v="4"/>
    <n v="211"/>
    <x v="0"/>
  </r>
  <r>
    <x v="267"/>
    <n v="53"/>
    <s v="Female"/>
    <s v="Widowed"/>
    <x v="4"/>
    <s v="Branch-Northgate"/>
    <s v="Business Owner"/>
    <s v="2024-04-29"/>
    <n v="2.2000000000000002"/>
    <x v="4"/>
    <n v="2"/>
    <n v="134990.53"/>
    <n v="38340.46"/>
    <n v="671"/>
    <x v="1"/>
    <x v="4"/>
    <n v="1173997.3400000001"/>
    <s v="Active"/>
    <s v="None"/>
    <n v="0"/>
    <n v="41"/>
    <n v="4386.6400000000003"/>
    <n v="4.4000000000000004"/>
    <x v="0"/>
    <x v="2"/>
    <x v="4"/>
    <n v="374"/>
    <x v="0"/>
  </r>
  <r>
    <x v="268"/>
    <n v="64"/>
    <s v="Female"/>
    <s v="Divorced"/>
    <x v="0"/>
    <s v="Branch-Hillcrest"/>
    <s v="Business Owner"/>
    <s v="2019-08-14"/>
    <n v="6.9"/>
    <x v="2"/>
    <n v="3"/>
    <n v="19189.04"/>
    <n v="84950.19"/>
    <n v="640"/>
    <x v="0"/>
    <x v="1"/>
    <n v="0"/>
    <s v="N/A"/>
    <s v="Both"/>
    <n v="98276.17"/>
    <n v="34"/>
    <n v="3788"/>
    <n v="58.2"/>
    <x v="3"/>
    <x v="0"/>
    <x v="4"/>
    <n v="46"/>
    <x v="0"/>
  </r>
  <r>
    <x v="269"/>
    <n v="52"/>
    <s v="Female"/>
    <s v="Married"/>
    <x v="1"/>
    <s v="Branch-Eastwood"/>
    <s v="Salaried"/>
    <s v="2022-09-18"/>
    <n v="3.8"/>
    <x v="2"/>
    <n v="2"/>
    <n v="84261.22"/>
    <n v="67313.03"/>
    <n v="671"/>
    <x v="1"/>
    <x v="3"/>
    <n v="854853.91"/>
    <s v="Active"/>
    <s v="Credit Only"/>
    <n v="128936.38"/>
    <n v="42"/>
    <n v="11936.88"/>
    <n v="44.3"/>
    <x v="0"/>
    <x v="4"/>
    <x v="1"/>
    <n v="108"/>
    <x v="0"/>
  </r>
  <r>
    <x v="270"/>
    <n v="78"/>
    <s v="Male"/>
    <s v="Single"/>
    <x v="4"/>
    <s v="Branch-Midtown"/>
    <s v="Retired"/>
    <s v="2023-09-30"/>
    <n v="2.8"/>
    <x v="4"/>
    <n v="3"/>
    <n v="0"/>
    <n v="38832.550000000003"/>
    <n v="715"/>
    <x v="1"/>
    <x v="1"/>
    <n v="0"/>
    <s v="N/A"/>
    <s v="Credit Only"/>
    <n v="74068.649999999994"/>
    <n v="0"/>
    <n v="6530.46"/>
    <n v="11.5"/>
    <x v="0"/>
    <x v="2"/>
    <x v="1"/>
    <n v="109"/>
    <x v="0"/>
  </r>
  <r>
    <x v="271"/>
    <n v="34"/>
    <s v="Female"/>
    <s v="Divorced"/>
    <x v="0"/>
    <s v="Branch-Eastwood"/>
    <s v="Retired"/>
    <s v="2023-03-04"/>
    <n v="3.3"/>
    <x v="0"/>
    <n v="4"/>
    <n v="11900.07"/>
    <n v="12668.87"/>
    <n v="702"/>
    <x v="1"/>
    <x v="1"/>
    <n v="0"/>
    <s v="N/A"/>
    <s v="None"/>
    <n v="0"/>
    <n v="18"/>
    <n v="3800.44"/>
    <n v="30.5"/>
    <x v="0"/>
    <x v="2"/>
    <x v="4"/>
    <n v="37"/>
    <x v="0"/>
  </r>
  <r>
    <x v="272"/>
    <n v="45"/>
    <s v="Male"/>
    <s v="Widowed"/>
    <x v="4"/>
    <s v="Branch-Greenfield"/>
    <s v="Self-Employed"/>
    <s v="2018-07-23"/>
    <n v="7.9"/>
    <x v="2"/>
    <n v="3"/>
    <n v="0"/>
    <n v="37618.69"/>
    <n v="615"/>
    <x v="0"/>
    <x v="4"/>
    <n v="1375808.72"/>
    <s v="Defaulted"/>
    <s v="Credit Only"/>
    <n v="216008.84"/>
    <n v="7"/>
    <n v="2123.19"/>
    <n v="55"/>
    <x v="2"/>
    <x v="3"/>
    <x v="4"/>
    <n v="20"/>
    <x v="0"/>
  </r>
  <r>
    <x v="273"/>
    <n v="74"/>
    <s v="Female"/>
    <s v="Divorced"/>
    <x v="0"/>
    <s v="Branch-Northgate"/>
    <s v="Business Owner"/>
    <s v="2026-03-03"/>
    <n v="0.3"/>
    <x v="1"/>
    <n v="4"/>
    <n v="91844.02"/>
    <n v="67442.78"/>
    <n v="687"/>
    <x v="1"/>
    <x v="1"/>
    <n v="0"/>
    <s v="N/A"/>
    <s v="Both"/>
    <n v="90451.520000000004"/>
    <n v="10"/>
    <n v="14536.09"/>
    <n v="94.9"/>
    <x v="1"/>
    <x v="2"/>
    <x v="1"/>
    <n v="262"/>
    <x v="0"/>
  </r>
  <r>
    <x v="274"/>
    <n v="30"/>
    <s v="Female"/>
    <s v="Widowed"/>
    <x v="0"/>
    <s v="Branch-Greenfield"/>
    <s v="Self-Employed"/>
    <s v="2021-11-10"/>
    <n v="4.5999999999999996"/>
    <x v="2"/>
    <n v="1"/>
    <n v="87342.720000000001"/>
    <n v="33193.21"/>
    <n v="696"/>
    <x v="1"/>
    <x v="1"/>
    <n v="0"/>
    <s v="N/A"/>
    <s v="Credit Only"/>
    <n v="71705.58"/>
    <n v="22"/>
    <n v="13799.78"/>
    <n v="75"/>
    <x v="0"/>
    <x v="1"/>
    <x v="4"/>
    <n v="230"/>
    <x v="0"/>
  </r>
  <r>
    <x v="275"/>
    <n v="47"/>
    <s v="Male"/>
    <s v="Widowed"/>
    <x v="1"/>
    <s v="Branch-Southpark"/>
    <s v="Freelancer"/>
    <s v="2019-11-29"/>
    <n v="6.6"/>
    <x v="2"/>
    <n v="2"/>
    <n v="55403.28"/>
    <n v="68847.14"/>
    <n v="653"/>
    <x v="0"/>
    <x v="1"/>
    <n v="0"/>
    <s v="N/A"/>
    <s v="Debit Only"/>
    <n v="0"/>
    <n v="1"/>
    <n v="10950.7"/>
    <n v="40.200000000000003"/>
    <x v="0"/>
    <x v="1"/>
    <x v="1"/>
    <n v="136"/>
    <x v="0"/>
  </r>
  <r>
    <x v="276"/>
    <n v="26"/>
    <s v="Male"/>
    <s v="Widowed"/>
    <x v="1"/>
    <s v="Branch-Southpark"/>
    <s v="Business Owner"/>
    <s v="2025-06-18"/>
    <n v="1"/>
    <x v="1"/>
    <n v="3"/>
    <n v="0"/>
    <n v="41884.639999999999"/>
    <n v="691"/>
    <x v="1"/>
    <x v="1"/>
    <n v="0"/>
    <s v="N/A"/>
    <s v="Credit Only"/>
    <n v="467116.74"/>
    <n v="57"/>
    <n v="11259.46"/>
    <n v="58.3"/>
    <x v="0"/>
    <x v="0"/>
    <x v="3"/>
    <n v="139"/>
    <x v="0"/>
  </r>
  <r>
    <x v="277"/>
    <n v="63"/>
    <s v="Male"/>
    <s v="Single"/>
    <x v="2"/>
    <s v="Branch-Harborview"/>
    <s v="Retired"/>
    <s v="2020-10-12"/>
    <n v="5.7"/>
    <x v="1"/>
    <n v="3"/>
    <n v="87893.57"/>
    <n v="66556.91"/>
    <n v="588"/>
    <x v="0"/>
    <x v="1"/>
    <n v="0"/>
    <s v="N/A"/>
    <s v="Both"/>
    <n v="372495.08"/>
    <n v="25"/>
    <n v="8872.07"/>
    <n v="25.6"/>
    <x v="1"/>
    <x v="2"/>
    <x v="1"/>
    <n v="268"/>
    <x v="0"/>
  </r>
  <r>
    <x v="278"/>
    <n v="30"/>
    <s v="Female"/>
    <s v="Single"/>
    <x v="4"/>
    <s v="Branch-Midtown"/>
    <s v="Retired"/>
    <s v="2026-02-12"/>
    <n v="0.4"/>
    <x v="3"/>
    <n v="1"/>
    <n v="103119.18"/>
    <n v="34707.89"/>
    <n v="601"/>
    <x v="0"/>
    <x v="1"/>
    <n v="0"/>
    <s v="N/A"/>
    <s v="Credit Only"/>
    <n v="321721.09000000003"/>
    <n v="20"/>
    <n v="1928.65"/>
    <n v="43.9"/>
    <x v="1"/>
    <x v="3"/>
    <x v="1"/>
    <n v="93"/>
    <x v="0"/>
  </r>
  <r>
    <x v="279"/>
    <n v="63"/>
    <s v="Male"/>
    <s v="Divorced"/>
    <x v="2"/>
    <s v="Branch-Westfield"/>
    <s v="Self-Employed"/>
    <s v="2023-05-14"/>
    <n v="3.1"/>
    <x v="3"/>
    <n v="2"/>
    <n v="71867.3"/>
    <n v="15570.59"/>
    <n v="701"/>
    <x v="1"/>
    <x v="1"/>
    <n v="0"/>
    <s v="N/A"/>
    <s v="None"/>
    <n v="0"/>
    <n v="4"/>
    <n v="11612.75"/>
    <n v="32.6"/>
    <x v="0"/>
    <x v="4"/>
    <x v="1"/>
    <n v="390"/>
    <x v="0"/>
  </r>
  <r>
    <x v="280"/>
    <n v="41"/>
    <s v="Male"/>
    <s v="Single"/>
    <x v="3"/>
    <s v="Branch-Greenfield"/>
    <s v="Self-Employed"/>
    <s v="2023-06-11"/>
    <n v="3.1"/>
    <x v="1"/>
    <n v="3"/>
    <n v="71725.649999999994"/>
    <n v="55184.89"/>
    <n v="700"/>
    <x v="1"/>
    <x v="1"/>
    <n v="0"/>
    <s v="N/A"/>
    <s v="Credit Only"/>
    <n v="317576.71000000002"/>
    <n v="18"/>
    <n v="2786.81"/>
    <n v="78.2"/>
    <x v="1"/>
    <x v="4"/>
    <x v="1"/>
    <n v="247"/>
    <x v="1"/>
  </r>
  <r>
    <x v="281"/>
    <n v="22"/>
    <s v="Male"/>
    <s v="Widowed"/>
    <x v="1"/>
    <s v="Branch-Northgate"/>
    <s v="Retired"/>
    <s v="2023-04-03"/>
    <n v="3.2"/>
    <x v="1"/>
    <n v="4"/>
    <n v="42123.42"/>
    <n v="12960.96"/>
    <n v="780"/>
    <x v="2"/>
    <x v="1"/>
    <n v="0"/>
    <s v="N/A"/>
    <s v="Credit Only"/>
    <n v="62156.58"/>
    <n v="7"/>
    <n v="6502.75"/>
    <n v="33.299999999999997"/>
    <x v="0"/>
    <x v="1"/>
    <x v="1"/>
    <n v="3"/>
    <x v="0"/>
  </r>
  <r>
    <x v="282"/>
    <n v="67"/>
    <s v="Female"/>
    <s v="Married"/>
    <x v="1"/>
    <s v="Branch-Westfield"/>
    <s v="Salaried"/>
    <s v="2019-01-20"/>
    <n v="7.4"/>
    <x v="4"/>
    <n v="3"/>
    <n v="2578.29"/>
    <n v="28488.09"/>
    <n v="672"/>
    <x v="1"/>
    <x v="2"/>
    <n v="2199355.27"/>
    <s v="Active"/>
    <s v="None"/>
    <n v="0"/>
    <n v="5"/>
    <n v="5473.07"/>
    <n v="78.099999999999994"/>
    <x v="1"/>
    <x v="1"/>
    <x v="1"/>
    <n v="103"/>
    <x v="0"/>
  </r>
  <r>
    <x v="283"/>
    <n v="74"/>
    <s v="Male"/>
    <s v="Divorced"/>
    <x v="2"/>
    <s v="Branch-Hillcrest"/>
    <s v="Freelancer"/>
    <s v="2025-01-12"/>
    <n v="1.5"/>
    <x v="1"/>
    <n v="4"/>
    <n v="57194.53"/>
    <n v="20143.82"/>
    <n v="796"/>
    <x v="2"/>
    <x v="1"/>
    <n v="0"/>
    <s v="N/A"/>
    <s v="Both"/>
    <n v="215085.42"/>
    <n v="32"/>
    <n v="8669.81"/>
    <n v="10"/>
    <x v="0"/>
    <x v="0"/>
    <x v="1"/>
    <n v="155"/>
    <x v="0"/>
  </r>
  <r>
    <x v="284"/>
    <n v="68"/>
    <s v="Female"/>
    <s v="Married"/>
    <x v="4"/>
    <s v="Branch-Northgate"/>
    <s v="Business Owner"/>
    <s v="2018-08-23"/>
    <n v="7.9"/>
    <x v="4"/>
    <n v="1"/>
    <n v="0"/>
    <n v="23545.68"/>
    <n v="715"/>
    <x v="1"/>
    <x v="1"/>
    <n v="0"/>
    <s v="N/A"/>
    <s v="Both"/>
    <n v="253651.02"/>
    <n v="38"/>
    <n v="6026.36"/>
    <n v="96.6"/>
    <x v="2"/>
    <x v="4"/>
    <x v="0"/>
    <n v="271"/>
    <x v="0"/>
  </r>
  <r>
    <x v="285"/>
    <n v="27"/>
    <s v="Male"/>
    <s v="Widowed"/>
    <x v="3"/>
    <s v="Branch-Hillcrest"/>
    <s v="Freelancer"/>
    <s v="2025-11-27"/>
    <n v="0.6"/>
    <x v="4"/>
    <n v="5"/>
    <n v="27475.89"/>
    <n v="36146.21"/>
    <n v="617"/>
    <x v="0"/>
    <x v="1"/>
    <n v="0"/>
    <s v="N/A"/>
    <s v="None"/>
    <n v="0"/>
    <n v="59"/>
    <n v="14567.85"/>
    <n v="92.8"/>
    <x v="0"/>
    <x v="3"/>
    <x v="2"/>
    <n v="397"/>
    <x v="0"/>
  </r>
  <r>
    <x v="286"/>
    <n v="78"/>
    <s v="Male"/>
    <s v="Single"/>
    <x v="2"/>
    <s v="Branch-Hillcrest"/>
    <s v="Student"/>
    <s v="2021-07-13"/>
    <n v="5"/>
    <x v="1"/>
    <n v="5"/>
    <n v="55735.65"/>
    <n v="30613.56"/>
    <n v="606"/>
    <x v="0"/>
    <x v="4"/>
    <n v="107414.81"/>
    <s v="Active"/>
    <s v="Both"/>
    <n v="267358.08000000002"/>
    <n v="12"/>
    <n v="14130.6"/>
    <n v="3"/>
    <x v="1"/>
    <x v="3"/>
    <x v="2"/>
    <n v="35"/>
    <x v="0"/>
  </r>
  <r>
    <x v="287"/>
    <n v="33"/>
    <s v="Female"/>
    <s v="Single"/>
    <x v="2"/>
    <s v="Branch-Eastwood"/>
    <s v="Self-Employed"/>
    <s v="2019-05-07"/>
    <n v="7.2"/>
    <x v="0"/>
    <n v="3"/>
    <n v="44106.95"/>
    <n v="40747.910000000003"/>
    <n v="738"/>
    <x v="1"/>
    <x v="1"/>
    <n v="0"/>
    <s v="N/A"/>
    <s v="None"/>
    <n v="0"/>
    <n v="37"/>
    <n v="14482.31"/>
    <n v="90.9"/>
    <x v="2"/>
    <x v="1"/>
    <x v="4"/>
    <n v="151"/>
    <x v="0"/>
  </r>
  <r>
    <x v="288"/>
    <n v="47"/>
    <s v="Female"/>
    <s v="Widowed"/>
    <x v="2"/>
    <s v="Branch-Downtown"/>
    <s v="Self-Employed"/>
    <s v="2019-02-14"/>
    <n v="7.4"/>
    <x v="4"/>
    <n v="4"/>
    <n v="163239.32999999999"/>
    <n v="11782.79"/>
    <n v="706"/>
    <x v="1"/>
    <x v="1"/>
    <n v="0"/>
    <s v="N/A"/>
    <s v="Both"/>
    <n v="270321.81"/>
    <n v="6"/>
    <n v="8390.27"/>
    <n v="12.8"/>
    <x v="0"/>
    <x v="4"/>
    <x v="4"/>
    <n v="301"/>
    <x v="0"/>
  </r>
  <r>
    <x v="289"/>
    <n v="31"/>
    <s v="Male"/>
    <s v="Single"/>
    <x v="0"/>
    <s v="Branch-Greenfield"/>
    <s v="Self-Employed"/>
    <s v="2022-02-21"/>
    <n v="4.4000000000000004"/>
    <x v="0"/>
    <n v="4"/>
    <n v="27449.54"/>
    <n v="50042.78"/>
    <n v="741"/>
    <x v="2"/>
    <x v="1"/>
    <n v="0"/>
    <s v="N/A"/>
    <s v="Both"/>
    <n v="132525.89000000001"/>
    <n v="1"/>
    <n v="11104.91"/>
    <n v="88.7"/>
    <x v="0"/>
    <x v="3"/>
    <x v="1"/>
    <n v="140"/>
    <x v="0"/>
  </r>
  <r>
    <x v="290"/>
    <n v="40"/>
    <s v="Male"/>
    <s v="Married"/>
    <x v="4"/>
    <s v="Branch-Harborview"/>
    <s v="Freelancer"/>
    <s v="2025-09-09"/>
    <n v="0.8"/>
    <x v="3"/>
    <n v="4"/>
    <n v="9877.81"/>
    <n v="12401.87"/>
    <n v="616"/>
    <x v="0"/>
    <x v="1"/>
    <n v="0"/>
    <s v="N/A"/>
    <s v="Both"/>
    <n v="384232.6"/>
    <n v="26"/>
    <n v="2992.03"/>
    <n v="58.6"/>
    <x v="0"/>
    <x v="3"/>
    <x v="2"/>
    <n v="231"/>
    <x v="1"/>
  </r>
  <r>
    <x v="291"/>
    <n v="44"/>
    <s v="Female"/>
    <s v="Widowed"/>
    <x v="3"/>
    <s v="Branch-Eastwood"/>
    <s v="Self-Employed"/>
    <s v="2026-02-18"/>
    <n v="0.4"/>
    <x v="1"/>
    <n v="1"/>
    <n v="0"/>
    <n v="29686.48"/>
    <n v="585"/>
    <x v="0"/>
    <x v="1"/>
    <n v="0"/>
    <s v="N/A"/>
    <s v="Both"/>
    <n v="87957.58"/>
    <n v="47"/>
    <n v="4076.42"/>
    <n v="44.2"/>
    <x v="3"/>
    <x v="0"/>
    <x v="1"/>
    <n v="168"/>
    <x v="0"/>
  </r>
  <r>
    <x v="292"/>
    <n v="56"/>
    <s v="Female"/>
    <s v="Divorced"/>
    <x v="2"/>
    <s v="Branch-Harborview"/>
    <s v="Freelancer"/>
    <s v="2021-03-02"/>
    <n v="5.3"/>
    <x v="0"/>
    <n v="5"/>
    <n v="55106.63"/>
    <n v="33339.81"/>
    <n v="717"/>
    <x v="1"/>
    <x v="3"/>
    <n v="1475144.79"/>
    <s v="Active"/>
    <s v="Both"/>
    <n v="21267.88"/>
    <n v="53"/>
    <n v="7250.64"/>
    <n v="82.2"/>
    <x v="0"/>
    <x v="3"/>
    <x v="0"/>
    <n v="34"/>
    <x v="0"/>
  </r>
  <r>
    <x v="293"/>
    <n v="43"/>
    <s v="Male"/>
    <s v="Widowed"/>
    <x v="3"/>
    <s v="Branch-Northgate"/>
    <s v="Freelancer"/>
    <s v="2026-01-22"/>
    <n v="0.4"/>
    <x v="0"/>
    <n v="3"/>
    <n v="64514.400000000001"/>
    <n v="18862.27"/>
    <n v="763"/>
    <x v="2"/>
    <x v="2"/>
    <n v="331763.89"/>
    <s v="Closed"/>
    <s v="None"/>
    <n v="0"/>
    <n v="42"/>
    <n v="6968.95"/>
    <n v="24.1"/>
    <x v="0"/>
    <x v="0"/>
    <x v="4"/>
    <n v="37"/>
    <x v="0"/>
  </r>
  <r>
    <x v="294"/>
    <n v="27"/>
    <s v="Male"/>
    <s v="Married"/>
    <x v="2"/>
    <s v="Branch-Harborview"/>
    <s v="Retired"/>
    <s v="2021-05-20"/>
    <n v="5.0999999999999996"/>
    <x v="3"/>
    <n v="2"/>
    <n v="18221.650000000001"/>
    <n v="63961.47"/>
    <n v="594"/>
    <x v="0"/>
    <x v="1"/>
    <n v="0"/>
    <s v="N/A"/>
    <s v="Both"/>
    <n v="364112.45"/>
    <n v="4"/>
    <n v="9948.35"/>
    <n v="87.8"/>
    <x v="0"/>
    <x v="2"/>
    <x v="2"/>
    <n v="143"/>
    <x v="0"/>
  </r>
  <r>
    <x v="295"/>
    <n v="39"/>
    <s v="Female"/>
    <s v="Single"/>
    <x v="3"/>
    <s v="Branch-Riverside"/>
    <s v="Retired"/>
    <s v="2026-01-18"/>
    <n v="0.4"/>
    <x v="2"/>
    <n v="4"/>
    <n v="41859.67"/>
    <n v="28947.919999999998"/>
    <n v="850"/>
    <x v="3"/>
    <x v="1"/>
    <n v="0"/>
    <s v="N/A"/>
    <s v="None"/>
    <n v="0"/>
    <n v="44"/>
    <n v="2466.3200000000002"/>
    <n v="47.2"/>
    <x v="0"/>
    <x v="2"/>
    <x v="4"/>
    <n v="344"/>
    <x v="0"/>
  </r>
  <r>
    <x v="296"/>
    <n v="27"/>
    <s v="Female"/>
    <s v="Widowed"/>
    <x v="3"/>
    <s v="Branch-Harborview"/>
    <s v="Self-Employed"/>
    <s v="2022-09-08"/>
    <n v="3.8"/>
    <x v="0"/>
    <n v="4"/>
    <n v="104639.8"/>
    <n v="27841.95"/>
    <n v="649"/>
    <x v="0"/>
    <x v="1"/>
    <n v="0"/>
    <s v="N/A"/>
    <s v="Debit Only"/>
    <n v="0"/>
    <n v="60"/>
    <n v="11865.44"/>
    <n v="57.6"/>
    <x v="1"/>
    <x v="0"/>
    <x v="2"/>
    <n v="158"/>
    <x v="0"/>
  </r>
  <r>
    <x v="297"/>
    <n v="64"/>
    <s v="Male"/>
    <s v="Divorced"/>
    <x v="2"/>
    <s v="Branch-Greenfield"/>
    <s v="Freelancer"/>
    <s v="2018-10-11"/>
    <n v="7.7"/>
    <x v="1"/>
    <n v="5"/>
    <n v="0"/>
    <n v="50233.25"/>
    <n v="672"/>
    <x v="1"/>
    <x v="1"/>
    <n v="0"/>
    <s v="N/A"/>
    <s v="Credit Only"/>
    <n v="457555.88"/>
    <n v="57"/>
    <n v="5354.5"/>
    <n v="20.399999999999999"/>
    <x v="2"/>
    <x v="3"/>
    <x v="0"/>
    <n v="281"/>
    <x v="1"/>
  </r>
  <r>
    <x v="298"/>
    <n v="55"/>
    <s v="Female"/>
    <s v="Divorced"/>
    <x v="3"/>
    <s v="Branch-Greenfield"/>
    <s v="Retired"/>
    <s v="2023-05-04"/>
    <n v="3.2"/>
    <x v="0"/>
    <n v="4"/>
    <n v="0"/>
    <n v="65963.63"/>
    <n v="470"/>
    <x v="4"/>
    <x v="4"/>
    <n v="2092393.63"/>
    <s v="Active"/>
    <s v="Both"/>
    <n v="347011.48"/>
    <n v="41"/>
    <n v="4069.8"/>
    <n v="42.4"/>
    <x v="2"/>
    <x v="2"/>
    <x v="4"/>
    <n v="73"/>
    <x v="0"/>
  </r>
  <r>
    <x v="299"/>
    <n v="62"/>
    <s v="Male"/>
    <s v="Married"/>
    <x v="4"/>
    <s v="Branch-Greenfield"/>
    <s v="Retired"/>
    <s v="2020-10-12"/>
    <n v="5.7"/>
    <x v="4"/>
    <n v="5"/>
    <n v="0"/>
    <n v="53349.74"/>
    <n v="694"/>
    <x v="1"/>
    <x v="0"/>
    <n v="1784212.37"/>
    <s v="Closed"/>
    <s v="Credit Only"/>
    <n v="272030.96999999997"/>
    <n v="46"/>
    <n v="2077.94"/>
    <n v="13.3"/>
    <x v="1"/>
    <x v="2"/>
    <x v="2"/>
    <n v="326"/>
    <x v="0"/>
  </r>
  <r>
    <x v="300"/>
    <n v="26"/>
    <s v="Male"/>
    <s v="Single"/>
    <x v="0"/>
    <s v="Branch-Midtown"/>
    <s v="Salaried"/>
    <s v="2020-11-19"/>
    <n v="5.6"/>
    <x v="3"/>
    <n v="3"/>
    <n v="100636.05"/>
    <n v="47779.72"/>
    <n v="746"/>
    <x v="2"/>
    <x v="0"/>
    <n v="882878.34"/>
    <s v="Defaulted"/>
    <s v="Credit Only"/>
    <n v="411085.06"/>
    <n v="56"/>
    <n v="1693.86"/>
    <n v="82.7"/>
    <x v="0"/>
    <x v="0"/>
    <x v="1"/>
    <n v="35"/>
    <x v="1"/>
  </r>
  <r>
    <x v="301"/>
    <n v="28"/>
    <s v="Female"/>
    <s v="Single"/>
    <x v="3"/>
    <s v="Branch-Westfield"/>
    <s v="Self-Employed"/>
    <s v="2025-08-21"/>
    <n v="0.9"/>
    <x v="0"/>
    <n v="3"/>
    <n v="52776.1"/>
    <n v="58125.26"/>
    <n v="613"/>
    <x v="0"/>
    <x v="4"/>
    <n v="285367.13"/>
    <s v="Active"/>
    <s v="Debit Only"/>
    <n v="0"/>
    <n v="21"/>
    <n v="5727.42"/>
    <n v="56.2"/>
    <x v="3"/>
    <x v="2"/>
    <x v="1"/>
    <n v="173"/>
    <x v="0"/>
  </r>
  <r>
    <x v="302"/>
    <n v="71"/>
    <s v="Male"/>
    <s v="Widowed"/>
    <x v="3"/>
    <s v="Branch-Riverside"/>
    <s v="Self-Employed"/>
    <s v="2019-12-02"/>
    <n v="6.6"/>
    <x v="3"/>
    <n v="4"/>
    <n v="10228.01"/>
    <n v="13519.07"/>
    <n v="790"/>
    <x v="2"/>
    <x v="2"/>
    <n v="2097659.38"/>
    <s v="Closed"/>
    <s v="Debit Only"/>
    <n v="0"/>
    <n v="19"/>
    <n v="8687.7199999999993"/>
    <n v="99.5"/>
    <x v="1"/>
    <x v="1"/>
    <x v="4"/>
    <n v="247"/>
    <x v="0"/>
  </r>
  <r>
    <x v="303"/>
    <n v="46"/>
    <s v="Female"/>
    <s v="Divorced"/>
    <x v="2"/>
    <s v="Branch-Midtown"/>
    <s v="Business Owner"/>
    <s v="2021-09-11"/>
    <n v="4.8"/>
    <x v="3"/>
    <n v="5"/>
    <n v="36076.26"/>
    <n v="55090.8"/>
    <n v="768"/>
    <x v="2"/>
    <x v="1"/>
    <n v="0"/>
    <s v="N/A"/>
    <s v="Credit Only"/>
    <n v="180298.95"/>
    <n v="20"/>
    <n v="12747.45"/>
    <n v="11.7"/>
    <x v="0"/>
    <x v="0"/>
    <x v="4"/>
    <n v="43"/>
    <x v="0"/>
  </r>
  <r>
    <x v="304"/>
    <n v="57"/>
    <s v="Female"/>
    <s v="Widowed"/>
    <x v="0"/>
    <s v="Branch-Lakeview"/>
    <s v="Retired"/>
    <s v="2019-03-29"/>
    <n v="7.3"/>
    <x v="0"/>
    <n v="4"/>
    <n v="87106.81"/>
    <n v="23043.279999999999"/>
    <n v="753"/>
    <x v="2"/>
    <x v="5"/>
    <n v="2184802.83"/>
    <s v="Closed"/>
    <s v="Both"/>
    <n v="405627.29"/>
    <n v="27"/>
    <n v="7137.34"/>
    <n v="3.9"/>
    <x v="0"/>
    <x v="2"/>
    <x v="4"/>
    <n v="17"/>
    <x v="0"/>
  </r>
  <r>
    <x v="305"/>
    <n v="28"/>
    <s v="Male"/>
    <s v="Widowed"/>
    <x v="1"/>
    <s v="Branch-Oakridge"/>
    <s v="Self-Employed"/>
    <s v="2025-01-21"/>
    <n v="1.4"/>
    <x v="2"/>
    <n v="3"/>
    <n v="0"/>
    <n v="19737.89"/>
    <n v="547"/>
    <x v="4"/>
    <x v="5"/>
    <n v="1893669.38"/>
    <s v="Active"/>
    <s v="Both"/>
    <n v="164544.24"/>
    <n v="35"/>
    <n v="1241.6400000000001"/>
    <n v="71"/>
    <x v="0"/>
    <x v="3"/>
    <x v="3"/>
    <n v="30"/>
    <x v="0"/>
  </r>
  <r>
    <x v="306"/>
    <n v="22"/>
    <s v="Male"/>
    <s v="Widowed"/>
    <x v="1"/>
    <s v="Branch-Northgate"/>
    <s v="Freelancer"/>
    <s v="2019-03-02"/>
    <n v="7.3"/>
    <x v="4"/>
    <n v="3"/>
    <n v="18724.3"/>
    <n v="40254.92"/>
    <n v="648"/>
    <x v="0"/>
    <x v="2"/>
    <n v="1109488.55"/>
    <s v="Active"/>
    <s v="Both"/>
    <n v="393920.9"/>
    <n v="17"/>
    <n v="13257.46"/>
    <n v="25.8"/>
    <x v="1"/>
    <x v="0"/>
    <x v="4"/>
    <n v="90"/>
    <x v="0"/>
  </r>
  <r>
    <x v="307"/>
    <n v="33"/>
    <s v="Female"/>
    <s v="Widowed"/>
    <x v="2"/>
    <s v="Branch-Downtown"/>
    <s v="Salaried"/>
    <s v="2018-08-03"/>
    <n v="7.9"/>
    <x v="1"/>
    <n v="2"/>
    <n v="99664.88"/>
    <n v="60998.02"/>
    <n v="650"/>
    <x v="0"/>
    <x v="1"/>
    <n v="0"/>
    <s v="N/A"/>
    <s v="Credit Only"/>
    <n v="154272.57"/>
    <n v="55"/>
    <n v="6725.9"/>
    <n v="99"/>
    <x v="3"/>
    <x v="0"/>
    <x v="3"/>
    <n v="5"/>
    <x v="0"/>
  </r>
  <r>
    <x v="308"/>
    <n v="33"/>
    <s v="Female"/>
    <s v="Married"/>
    <x v="2"/>
    <s v="Branch-Eastwood"/>
    <s v="Self-Employed"/>
    <s v="2024-09-12"/>
    <n v="1.8"/>
    <x v="2"/>
    <n v="4"/>
    <n v="81874.75"/>
    <n v="53150.6"/>
    <n v="480"/>
    <x v="4"/>
    <x v="1"/>
    <n v="0"/>
    <s v="N/A"/>
    <s v="Debit Only"/>
    <n v="0"/>
    <n v="54"/>
    <n v="2163.5"/>
    <n v="95.2"/>
    <x v="0"/>
    <x v="1"/>
    <x v="3"/>
    <n v="108"/>
    <x v="0"/>
  </r>
  <r>
    <x v="309"/>
    <n v="47"/>
    <s v="Female"/>
    <s v="Married"/>
    <x v="4"/>
    <s v="Branch-Oakridge"/>
    <s v="Salaried"/>
    <s v="2019-01-26"/>
    <n v="7.4"/>
    <x v="0"/>
    <n v="2"/>
    <n v="4744.51"/>
    <n v="39476.21"/>
    <n v="838"/>
    <x v="3"/>
    <x v="5"/>
    <n v="1217508.1200000001"/>
    <s v="Active"/>
    <s v="Both"/>
    <n v="280782.63"/>
    <n v="57"/>
    <n v="5912.24"/>
    <n v="48.7"/>
    <x v="1"/>
    <x v="0"/>
    <x v="3"/>
    <n v="134"/>
    <x v="0"/>
  </r>
  <r>
    <x v="310"/>
    <n v="61"/>
    <s v="Female"/>
    <s v="Single"/>
    <x v="3"/>
    <s v="Branch-Lakeview"/>
    <s v="Student"/>
    <s v="2024-02-08"/>
    <n v="2.4"/>
    <x v="2"/>
    <n v="2"/>
    <n v="169094.72"/>
    <n v="26850.71"/>
    <n v="786"/>
    <x v="2"/>
    <x v="3"/>
    <n v="1082996.54"/>
    <s v="Closed"/>
    <s v="Debit Only"/>
    <n v="0"/>
    <n v="28"/>
    <n v="909.65"/>
    <n v="89.9"/>
    <x v="0"/>
    <x v="1"/>
    <x v="2"/>
    <n v="253"/>
    <x v="0"/>
  </r>
  <r>
    <x v="311"/>
    <n v="27"/>
    <s v="Female"/>
    <s v="Widowed"/>
    <x v="3"/>
    <s v="Branch-Northgate"/>
    <s v="Freelancer"/>
    <s v="2022-10-02"/>
    <n v="3.7"/>
    <x v="0"/>
    <n v="2"/>
    <n v="107917.49"/>
    <n v="8000"/>
    <n v="678"/>
    <x v="1"/>
    <x v="3"/>
    <n v="370976.67"/>
    <s v="Closed"/>
    <s v="Both"/>
    <n v="20652.78"/>
    <n v="39"/>
    <n v="5855.7"/>
    <n v="80.5"/>
    <x v="0"/>
    <x v="4"/>
    <x v="2"/>
    <n v="181"/>
    <x v="0"/>
  </r>
  <r>
    <x v="312"/>
    <n v="56"/>
    <s v="Female"/>
    <s v="Widowed"/>
    <x v="2"/>
    <s v="Branch-Northgate"/>
    <s v="Retired"/>
    <s v="2024-02-29"/>
    <n v="2.2999999999999998"/>
    <x v="1"/>
    <n v="2"/>
    <n v="102846.07"/>
    <n v="68378.42"/>
    <n v="633"/>
    <x v="0"/>
    <x v="4"/>
    <n v="1812857.12"/>
    <s v="Closed"/>
    <s v="Both"/>
    <n v="133134.9"/>
    <n v="50"/>
    <n v="7824.95"/>
    <n v="97.6"/>
    <x v="0"/>
    <x v="3"/>
    <x v="3"/>
    <n v="139"/>
    <x v="0"/>
  </r>
  <r>
    <x v="313"/>
    <n v="41"/>
    <s v="Male"/>
    <s v="Divorced"/>
    <x v="3"/>
    <s v="Branch-Hillcrest"/>
    <s v="Retired"/>
    <s v="2024-04-03"/>
    <n v="2.2000000000000002"/>
    <x v="2"/>
    <n v="2"/>
    <n v="38373.97"/>
    <n v="33390.46"/>
    <n v="639"/>
    <x v="0"/>
    <x v="1"/>
    <n v="0"/>
    <s v="N/A"/>
    <s v="Credit Only"/>
    <n v="464567.88"/>
    <n v="60"/>
    <n v="2026.46"/>
    <n v="58.9"/>
    <x v="0"/>
    <x v="4"/>
    <x v="3"/>
    <n v="343"/>
    <x v="0"/>
  </r>
  <r>
    <x v="314"/>
    <n v="58"/>
    <s v="Female"/>
    <s v="Married"/>
    <x v="3"/>
    <s v="Branch-Hillcrest"/>
    <s v="Student"/>
    <s v="2021-10-31"/>
    <n v="4.7"/>
    <x v="1"/>
    <n v="4"/>
    <n v="149845.78"/>
    <n v="53208.9"/>
    <n v="787"/>
    <x v="2"/>
    <x v="1"/>
    <n v="0"/>
    <s v="N/A"/>
    <s v="Credit Only"/>
    <n v="133063.67000000001"/>
    <n v="42"/>
    <n v="11491.06"/>
    <n v="15.1"/>
    <x v="1"/>
    <x v="1"/>
    <x v="4"/>
    <n v="66"/>
    <x v="0"/>
  </r>
  <r>
    <x v="315"/>
    <n v="31"/>
    <s v="Female"/>
    <s v="Single"/>
    <x v="4"/>
    <s v="Branch-Lakeview"/>
    <s v="Retired"/>
    <s v="2025-06-04"/>
    <n v="1.1000000000000001"/>
    <x v="1"/>
    <n v="5"/>
    <n v="66147.649999999994"/>
    <n v="17962.05"/>
    <n v="620"/>
    <x v="0"/>
    <x v="3"/>
    <n v="966455.58"/>
    <s v="Active"/>
    <s v="Both"/>
    <n v="279261.86"/>
    <n v="58"/>
    <n v="8071.46"/>
    <n v="72.900000000000006"/>
    <x v="0"/>
    <x v="3"/>
    <x v="3"/>
    <n v="224"/>
    <x v="0"/>
  </r>
  <r>
    <x v="316"/>
    <n v="77"/>
    <s v="Female"/>
    <s v="Single"/>
    <x v="3"/>
    <s v="Branch-Westfield"/>
    <s v="Student"/>
    <s v="2020-07-26"/>
    <n v="5.9"/>
    <x v="3"/>
    <n v="1"/>
    <n v="0"/>
    <n v="36886.410000000003"/>
    <n v="595"/>
    <x v="0"/>
    <x v="1"/>
    <n v="0"/>
    <s v="N/A"/>
    <s v="Debit Only"/>
    <n v="0"/>
    <n v="27"/>
    <n v="3982.89"/>
    <n v="43.7"/>
    <x v="2"/>
    <x v="2"/>
    <x v="1"/>
    <n v="221"/>
    <x v="0"/>
  </r>
  <r>
    <x v="317"/>
    <n v="75"/>
    <s v="Male"/>
    <s v="Single"/>
    <x v="1"/>
    <s v="Branch-Hillcrest"/>
    <s v="Retired"/>
    <s v="2019-08-28"/>
    <n v="6.8"/>
    <x v="1"/>
    <n v="3"/>
    <n v="217535.46"/>
    <n v="45636.95"/>
    <n v="484"/>
    <x v="4"/>
    <x v="1"/>
    <n v="0"/>
    <s v="N/A"/>
    <s v="Debit Only"/>
    <n v="0"/>
    <n v="18"/>
    <n v="8140.48"/>
    <n v="40"/>
    <x v="1"/>
    <x v="1"/>
    <x v="2"/>
    <n v="339"/>
    <x v="1"/>
  </r>
  <r>
    <x v="318"/>
    <n v="32"/>
    <s v="Male"/>
    <s v="Married"/>
    <x v="0"/>
    <s v="Branch-Northgate"/>
    <s v="Business Owner"/>
    <s v="2023-03-08"/>
    <n v="3.3"/>
    <x v="2"/>
    <n v="4"/>
    <n v="36238.18"/>
    <n v="46770.97"/>
    <n v="850"/>
    <x v="3"/>
    <x v="2"/>
    <n v="2463689.4700000002"/>
    <s v="Defaulted"/>
    <s v="Debit Only"/>
    <n v="0"/>
    <n v="26"/>
    <n v="9042.77"/>
    <n v="85.3"/>
    <x v="2"/>
    <x v="1"/>
    <x v="0"/>
    <n v="380"/>
    <x v="0"/>
  </r>
  <r>
    <x v="319"/>
    <n v="44"/>
    <s v="Female"/>
    <s v="Widowed"/>
    <x v="1"/>
    <s v="Branch-Midtown"/>
    <s v="Student"/>
    <s v="2023-08-20"/>
    <n v="2.9"/>
    <x v="1"/>
    <n v="4"/>
    <n v="37969.54"/>
    <n v="53847.02"/>
    <n v="583"/>
    <x v="0"/>
    <x v="1"/>
    <n v="0"/>
    <s v="N/A"/>
    <s v="Debit Only"/>
    <n v="0"/>
    <n v="26"/>
    <n v="3215.4"/>
    <n v="55.2"/>
    <x v="1"/>
    <x v="0"/>
    <x v="1"/>
    <n v="346"/>
    <x v="1"/>
  </r>
  <r>
    <x v="320"/>
    <n v="21"/>
    <s v="Female"/>
    <s v="Married"/>
    <x v="0"/>
    <s v="Branch-Westfield"/>
    <s v="Business Owner"/>
    <s v="2025-11-22"/>
    <n v="0.6"/>
    <x v="1"/>
    <n v="4"/>
    <n v="57726.07"/>
    <n v="49577.01"/>
    <n v="695"/>
    <x v="1"/>
    <x v="1"/>
    <n v="0"/>
    <s v="N/A"/>
    <s v="Credit Only"/>
    <n v="217154.05"/>
    <n v="36"/>
    <n v="5201.1400000000003"/>
    <n v="82.9"/>
    <x v="0"/>
    <x v="1"/>
    <x v="1"/>
    <n v="147"/>
    <x v="0"/>
  </r>
  <r>
    <x v="321"/>
    <n v="22"/>
    <s v="Male"/>
    <s v="Divorced"/>
    <x v="1"/>
    <s v="Branch-Eastwood"/>
    <s v="Salaried"/>
    <s v="2018-11-09"/>
    <n v="7.6"/>
    <x v="0"/>
    <n v="3"/>
    <n v="117953.07"/>
    <n v="33276.400000000001"/>
    <n v="750"/>
    <x v="2"/>
    <x v="3"/>
    <n v="1730550.09"/>
    <s v="Active"/>
    <s v="None"/>
    <n v="0"/>
    <n v="30"/>
    <n v="5236.7"/>
    <n v="62.3"/>
    <x v="0"/>
    <x v="0"/>
    <x v="1"/>
    <n v="62"/>
    <x v="0"/>
  </r>
  <r>
    <x v="322"/>
    <n v="20"/>
    <s v="Female"/>
    <s v="Divorced"/>
    <x v="2"/>
    <s v="Branch-Eastwood"/>
    <s v="Self-Employed"/>
    <s v="2025-03-24"/>
    <n v="1.3"/>
    <x v="3"/>
    <n v="3"/>
    <n v="90190.91"/>
    <n v="26742.28"/>
    <n v="727"/>
    <x v="1"/>
    <x v="2"/>
    <n v="1350517.43"/>
    <s v="Closed"/>
    <s v="Credit Only"/>
    <n v="483163.48"/>
    <n v="43"/>
    <n v="11182.37"/>
    <n v="84.3"/>
    <x v="1"/>
    <x v="3"/>
    <x v="4"/>
    <n v="108"/>
    <x v="0"/>
  </r>
  <r>
    <x v="323"/>
    <n v="49"/>
    <s v="Female"/>
    <s v="Widowed"/>
    <x v="1"/>
    <s v="Branch-Riverside"/>
    <s v="Business Owner"/>
    <s v="2023-09-21"/>
    <n v="2.8"/>
    <x v="1"/>
    <n v="4"/>
    <n v="97172.24"/>
    <n v="8000"/>
    <n v="812"/>
    <x v="3"/>
    <x v="1"/>
    <n v="0"/>
    <s v="N/A"/>
    <s v="Credit Only"/>
    <n v="146594.32999999999"/>
    <n v="58"/>
    <n v="927.41"/>
    <n v="84.7"/>
    <x v="0"/>
    <x v="0"/>
    <x v="4"/>
    <n v="78"/>
    <x v="0"/>
  </r>
  <r>
    <x v="324"/>
    <n v="63"/>
    <s v="Male"/>
    <s v="Single"/>
    <x v="1"/>
    <s v="Branch-Downtown"/>
    <s v="Retired"/>
    <s v="2022-08-27"/>
    <n v="3.8"/>
    <x v="1"/>
    <n v="1"/>
    <n v="43870.52"/>
    <n v="37099.39"/>
    <n v="651"/>
    <x v="0"/>
    <x v="4"/>
    <n v="635318.87"/>
    <s v="Active"/>
    <s v="None"/>
    <n v="0"/>
    <n v="53"/>
    <n v="1311.24"/>
    <n v="13"/>
    <x v="0"/>
    <x v="3"/>
    <x v="4"/>
    <n v="357"/>
    <x v="0"/>
  </r>
  <r>
    <x v="325"/>
    <n v="30"/>
    <s v="Female"/>
    <s v="Divorced"/>
    <x v="1"/>
    <s v="Branch-Harborview"/>
    <s v="Salaried"/>
    <s v="2018-10-08"/>
    <n v="7.7"/>
    <x v="1"/>
    <n v="3"/>
    <n v="0"/>
    <n v="33420.97"/>
    <n v="624"/>
    <x v="0"/>
    <x v="2"/>
    <n v="814543.07"/>
    <s v="Active"/>
    <s v="Both"/>
    <n v="229284.58"/>
    <n v="17"/>
    <n v="7214.21"/>
    <n v="75.3"/>
    <x v="0"/>
    <x v="3"/>
    <x v="3"/>
    <n v="149"/>
    <x v="0"/>
  </r>
  <r>
    <x v="326"/>
    <n v="67"/>
    <s v="Male"/>
    <s v="Divorced"/>
    <x v="1"/>
    <s v="Branch-Northgate"/>
    <s v="Salaried"/>
    <s v="2020-09-30"/>
    <n v="5.8"/>
    <x v="4"/>
    <n v="3"/>
    <n v="102622.05"/>
    <n v="48533.07"/>
    <n v="691"/>
    <x v="1"/>
    <x v="1"/>
    <n v="0"/>
    <s v="N/A"/>
    <s v="Both"/>
    <n v="323607.78999999998"/>
    <n v="41"/>
    <n v="9185.74"/>
    <n v="44.9"/>
    <x v="0"/>
    <x v="4"/>
    <x v="1"/>
    <n v="165"/>
    <x v="0"/>
  </r>
  <r>
    <x v="327"/>
    <n v="21"/>
    <s v="Male"/>
    <s v="Single"/>
    <x v="1"/>
    <s v="Branch-Eastwood"/>
    <s v="Business Owner"/>
    <s v="2018-07-27"/>
    <n v="7.9"/>
    <x v="0"/>
    <n v="5"/>
    <n v="22114.75"/>
    <n v="42712.09"/>
    <n v="618"/>
    <x v="0"/>
    <x v="1"/>
    <n v="0"/>
    <s v="N/A"/>
    <s v="Both"/>
    <n v="320896.96999999997"/>
    <n v="21"/>
    <n v="4614.55"/>
    <n v="48.6"/>
    <x v="0"/>
    <x v="3"/>
    <x v="4"/>
    <n v="206"/>
    <x v="0"/>
  </r>
  <r>
    <x v="328"/>
    <n v="44"/>
    <s v="Male"/>
    <s v="Divorced"/>
    <x v="2"/>
    <s v="Branch-Eastwood"/>
    <s v="Student"/>
    <s v="2019-11-03"/>
    <n v="6.7"/>
    <x v="1"/>
    <n v="5"/>
    <n v="0"/>
    <n v="73677.36"/>
    <n v="816"/>
    <x v="3"/>
    <x v="4"/>
    <n v="1891140.46"/>
    <s v="Active"/>
    <s v="Credit Only"/>
    <n v="39495.300000000003"/>
    <n v="49"/>
    <n v="694.56"/>
    <n v="96.4"/>
    <x v="0"/>
    <x v="4"/>
    <x v="1"/>
    <n v="53"/>
    <x v="0"/>
  </r>
  <r>
    <x v="329"/>
    <n v="66"/>
    <s v="Female"/>
    <s v="Divorced"/>
    <x v="0"/>
    <s v="Branch-Westfield"/>
    <s v="Self-Employed"/>
    <s v="2020-12-18"/>
    <n v="5.5"/>
    <x v="0"/>
    <n v="3"/>
    <n v="94175.7"/>
    <n v="47600.44"/>
    <n v="563"/>
    <x v="4"/>
    <x v="1"/>
    <n v="0"/>
    <s v="N/A"/>
    <s v="Both"/>
    <n v="275456.24"/>
    <n v="51"/>
    <n v="7576.89"/>
    <n v="4.4000000000000004"/>
    <x v="0"/>
    <x v="0"/>
    <x v="2"/>
    <n v="31"/>
    <x v="0"/>
  </r>
  <r>
    <x v="330"/>
    <n v="27"/>
    <s v="Female"/>
    <s v="Divorced"/>
    <x v="3"/>
    <s v="Branch-Harborview"/>
    <s v="Student"/>
    <s v="2025-08-04"/>
    <n v="0.9"/>
    <x v="0"/>
    <n v="1"/>
    <n v="10042.39"/>
    <n v="40300.17"/>
    <n v="604"/>
    <x v="0"/>
    <x v="1"/>
    <n v="0"/>
    <s v="N/A"/>
    <s v="Both"/>
    <n v="39294.61"/>
    <n v="27"/>
    <n v="5033.71"/>
    <n v="3.9"/>
    <x v="1"/>
    <x v="1"/>
    <x v="4"/>
    <n v="105"/>
    <x v="0"/>
  </r>
  <r>
    <x v="331"/>
    <n v="61"/>
    <s v="Male"/>
    <s v="Married"/>
    <x v="0"/>
    <s v="Branch-Downtown"/>
    <s v="Freelancer"/>
    <s v="2024-05-03"/>
    <n v="2.2000000000000002"/>
    <x v="1"/>
    <n v="2"/>
    <n v="1966.1"/>
    <n v="26247.07"/>
    <n v="450"/>
    <x v="4"/>
    <x v="0"/>
    <n v="2223830.66"/>
    <s v="Closed"/>
    <s v="Debit Only"/>
    <n v="0"/>
    <n v="19"/>
    <n v="12021.97"/>
    <n v="50.3"/>
    <x v="2"/>
    <x v="0"/>
    <x v="1"/>
    <n v="331"/>
    <x v="0"/>
  </r>
  <r>
    <x v="332"/>
    <n v="64"/>
    <s v="Female"/>
    <s v="Divorced"/>
    <x v="0"/>
    <s v="Branch-Lakeview"/>
    <s v="Retired"/>
    <s v="2018-06-11"/>
    <n v="8.1"/>
    <x v="3"/>
    <n v="4"/>
    <n v="39912.339999999997"/>
    <n v="49734.46"/>
    <n v="767"/>
    <x v="2"/>
    <x v="1"/>
    <n v="0"/>
    <s v="N/A"/>
    <s v="Credit Only"/>
    <n v="153673.44"/>
    <n v="35"/>
    <n v="11698.25"/>
    <n v="1.9"/>
    <x v="0"/>
    <x v="0"/>
    <x v="2"/>
    <n v="127"/>
    <x v="0"/>
  </r>
  <r>
    <x v="333"/>
    <n v="70"/>
    <s v="Female"/>
    <s v="Married"/>
    <x v="3"/>
    <s v="Branch-Eastwood"/>
    <s v="Student"/>
    <s v="2025-04-30"/>
    <n v="1.2"/>
    <x v="2"/>
    <n v="1"/>
    <n v="120360.45"/>
    <n v="53838.06"/>
    <n v="772"/>
    <x v="2"/>
    <x v="1"/>
    <n v="0"/>
    <s v="N/A"/>
    <s v="Credit Only"/>
    <n v="404910.33"/>
    <n v="53"/>
    <n v="13070.04"/>
    <n v="4.5999999999999996"/>
    <x v="0"/>
    <x v="2"/>
    <x v="3"/>
    <n v="117"/>
    <x v="0"/>
  </r>
  <r>
    <x v="334"/>
    <n v="26"/>
    <s v="Male"/>
    <s v="Widowed"/>
    <x v="3"/>
    <s v="Branch-Oakridge"/>
    <s v="Student"/>
    <s v="2021-10-01"/>
    <n v="4.7"/>
    <x v="1"/>
    <n v="3"/>
    <n v="102113.4"/>
    <n v="25763.26"/>
    <n v="703"/>
    <x v="1"/>
    <x v="5"/>
    <n v="919193.05"/>
    <s v="Active"/>
    <s v="None"/>
    <n v="0"/>
    <n v="60"/>
    <n v="8600.89"/>
    <n v="33.4"/>
    <x v="0"/>
    <x v="1"/>
    <x v="3"/>
    <n v="3"/>
    <x v="1"/>
  </r>
  <r>
    <x v="335"/>
    <n v="44"/>
    <s v="Female"/>
    <s v="Married"/>
    <x v="3"/>
    <s v="Branch-Hillcrest"/>
    <s v="Salaried"/>
    <s v="2023-12-16"/>
    <n v="2.5"/>
    <x v="1"/>
    <n v="4"/>
    <n v="13083.39"/>
    <n v="59684.54"/>
    <n v="629"/>
    <x v="0"/>
    <x v="5"/>
    <n v="2426308.06"/>
    <s v="Active"/>
    <s v="Both"/>
    <n v="401940.84"/>
    <n v="8"/>
    <n v="12704.38"/>
    <n v="86.4"/>
    <x v="0"/>
    <x v="3"/>
    <x v="0"/>
    <n v="264"/>
    <x v="0"/>
  </r>
  <r>
    <x v="336"/>
    <n v="63"/>
    <s v="Male"/>
    <s v="Married"/>
    <x v="3"/>
    <s v="Branch-Greenfield"/>
    <s v="Self-Employed"/>
    <s v="2024-08-02"/>
    <n v="1.9"/>
    <x v="3"/>
    <n v="5"/>
    <n v="80732.03"/>
    <n v="71707.95"/>
    <n v="704"/>
    <x v="1"/>
    <x v="3"/>
    <n v="2071613.82"/>
    <s v="Active"/>
    <s v="None"/>
    <n v="0"/>
    <n v="8"/>
    <n v="7962.03"/>
    <n v="64.099999999999994"/>
    <x v="1"/>
    <x v="1"/>
    <x v="1"/>
    <n v="16"/>
    <x v="0"/>
  </r>
  <r>
    <x v="337"/>
    <n v="20"/>
    <s v="Male"/>
    <s v="Divorced"/>
    <x v="3"/>
    <s v="Branch-Midtown"/>
    <s v="Business Owner"/>
    <s v="2018-11-15"/>
    <n v="7.6"/>
    <x v="1"/>
    <n v="1"/>
    <n v="4281.47"/>
    <n v="8000"/>
    <n v="769"/>
    <x v="2"/>
    <x v="1"/>
    <n v="0"/>
    <s v="N/A"/>
    <s v="None"/>
    <n v="0"/>
    <n v="18"/>
    <n v="12815.75"/>
    <n v="46.9"/>
    <x v="2"/>
    <x v="3"/>
    <x v="1"/>
    <n v="201"/>
    <x v="0"/>
  </r>
  <r>
    <x v="338"/>
    <n v="35"/>
    <s v="Male"/>
    <s v="Widowed"/>
    <x v="1"/>
    <s v="Branch-Eastwood"/>
    <s v="Freelancer"/>
    <s v="2020-11-30"/>
    <n v="5.6"/>
    <x v="1"/>
    <n v="4"/>
    <n v="0"/>
    <n v="73934.899999999994"/>
    <n v="604"/>
    <x v="0"/>
    <x v="0"/>
    <n v="1118087.28"/>
    <s v="Active"/>
    <s v="Both"/>
    <n v="63454.69"/>
    <n v="36"/>
    <n v="14302.92"/>
    <n v="19.2"/>
    <x v="0"/>
    <x v="0"/>
    <x v="0"/>
    <n v="153"/>
    <x v="0"/>
  </r>
  <r>
    <x v="339"/>
    <n v="66"/>
    <s v="Female"/>
    <s v="Widowed"/>
    <x v="0"/>
    <s v="Branch-Harborview"/>
    <s v="Salaried"/>
    <s v="2022-10-05"/>
    <n v="3.7"/>
    <x v="0"/>
    <n v="4"/>
    <n v="17377.97"/>
    <n v="69658.69"/>
    <n v="587"/>
    <x v="0"/>
    <x v="1"/>
    <n v="0"/>
    <s v="N/A"/>
    <s v="Debit Only"/>
    <n v="0"/>
    <n v="47"/>
    <n v="6388.84"/>
    <n v="61.8"/>
    <x v="1"/>
    <x v="2"/>
    <x v="4"/>
    <n v="165"/>
    <x v="0"/>
  </r>
  <r>
    <x v="340"/>
    <n v="25"/>
    <s v="Male"/>
    <s v="Single"/>
    <x v="2"/>
    <s v="Branch-Lakeview"/>
    <s v="Freelancer"/>
    <s v="2021-07-21"/>
    <n v="4.9000000000000004"/>
    <x v="0"/>
    <n v="3"/>
    <n v="0"/>
    <n v="74368.33"/>
    <n v="590"/>
    <x v="0"/>
    <x v="5"/>
    <n v="1509516.22"/>
    <s v="Active"/>
    <s v="Credit Only"/>
    <n v="262306.5"/>
    <n v="58"/>
    <n v="5351.65"/>
    <n v="37"/>
    <x v="2"/>
    <x v="4"/>
    <x v="1"/>
    <n v="131"/>
    <x v="0"/>
  </r>
  <r>
    <x v="341"/>
    <n v="71"/>
    <s v="Female"/>
    <s v="Divorced"/>
    <x v="1"/>
    <s v="Branch-Downtown"/>
    <s v="Student"/>
    <s v="2018-12-29"/>
    <n v="7.5"/>
    <x v="1"/>
    <n v="3"/>
    <n v="47330.19"/>
    <n v="61678.77"/>
    <n v="649"/>
    <x v="0"/>
    <x v="2"/>
    <n v="1648356.69"/>
    <s v="Closed"/>
    <s v="Both"/>
    <n v="245920.14"/>
    <n v="55"/>
    <n v="3956.26"/>
    <n v="89.1"/>
    <x v="0"/>
    <x v="1"/>
    <x v="0"/>
    <n v="337"/>
    <x v="0"/>
  </r>
  <r>
    <x v="342"/>
    <n v="25"/>
    <s v="Male"/>
    <s v="Divorced"/>
    <x v="0"/>
    <s v="Branch-Midtown"/>
    <s v="Self-Employed"/>
    <s v="2024-07-07"/>
    <n v="2"/>
    <x v="2"/>
    <n v="3"/>
    <n v="17438.25"/>
    <n v="53550.86"/>
    <n v="591"/>
    <x v="0"/>
    <x v="3"/>
    <n v="1317222.6399999999"/>
    <s v="Closed"/>
    <s v="Debit Only"/>
    <n v="0"/>
    <n v="43"/>
    <n v="12389.39"/>
    <n v="36.9"/>
    <x v="1"/>
    <x v="1"/>
    <x v="4"/>
    <n v="140"/>
    <x v="0"/>
  </r>
  <r>
    <x v="343"/>
    <n v="65"/>
    <s v="Male"/>
    <s v="Married"/>
    <x v="2"/>
    <s v="Branch-Southpark"/>
    <s v="Business Owner"/>
    <s v="2019-08-25"/>
    <n v="6.9"/>
    <x v="0"/>
    <n v="5"/>
    <n v="0"/>
    <n v="8000"/>
    <n v="669"/>
    <x v="0"/>
    <x v="1"/>
    <n v="0"/>
    <s v="N/A"/>
    <s v="Both"/>
    <n v="341812.52"/>
    <n v="57"/>
    <n v="6423.35"/>
    <n v="96.1"/>
    <x v="1"/>
    <x v="0"/>
    <x v="4"/>
    <n v="369"/>
    <x v="0"/>
  </r>
  <r>
    <x v="344"/>
    <n v="26"/>
    <s v="Female"/>
    <s v="Widowed"/>
    <x v="1"/>
    <s v="Branch-Eastwood"/>
    <s v="Student"/>
    <s v="2020-02-02"/>
    <n v="6.4"/>
    <x v="0"/>
    <n v="1"/>
    <n v="143239.5"/>
    <n v="26819.29"/>
    <n v="705"/>
    <x v="1"/>
    <x v="4"/>
    <n v="2188948.8199999998"/>
    <s v="Active"/>
    <s v="Credit Only"/>
    <n v="200757.22"/>
    <n v="23"/>
    <n v="5587.46"/>
    <n v="18.8"/>
    <x v="0"/>
    <x v="2"/>
    <x v="2"/>
    <n v="61"/>
    <x v="1"/>
  </r>
  <r>
    <x v="345"/>
    <n v="32"/>
    <s v="Male"/>
    <s v="Married"/>
    <x v="2"/>
    <s v="Branch-Eastwood"/>
    <s v="Salaried"/>
    <s v="2025-07-30"/>
    <n v="0.9"/>
    <x v="4"/>
    <n v="5"/>
    <n v="0"/>
    <n v="82367.570000000007"/>
    <n v="811"/>
    <x v="3"/>
    <x v="5"/>
    <n v="1115010.51"/>
    <s v="Active"/>
    <s v="Both"/>
    <n v="218127.58"/>
    <n v="52"/>
    <n v="8284.5499999999993"/>
    <n v="66.7"/>
    <x v="1"/>
    <x v="3"/>
    <x v="1"/>
    <n v="233"/>
    <x v="0"/>
  </r>
  <r>
    <x v="346"/>
    <n v="51"/>
    <s v="Female"/>
    <s v="Divorced"/>
    <x v="3"/>
    <s v="Branch-Westfield"/>
    <s v="Freelancer"/>
    <s v="2023-01-10"/>
    <n v="3.5"/>
    <x v="2"/>
    <n v="3"/>
    <n v="69751.69"/>
    <n v="96476.59"/>
    <n v="706"/>
    <x v="1"/>
    <x v="1"/>
    <n v="0"/>
    <s v="N/A"/>
    <s v="Credit Only"/>
    <n v="390403.14"/>
    <n v="27"/>
    <n v="13081.23"/>
    <n v="64.2"/>
    <x v="0"/>
    <x v="2"/>
    <x v="1"/>
    <n v="60"/>
    <x v="0"/>
  </r>
  <r>
    <x v="347"/>
    <n v="67"/>
    <s v="Female"/>
    <s v="Single"/>
    <x v="1"/>
    <s v="Branch-Eastwood"/>
    <s v="Business Owner"/>
    <s v="2021-06-02"/>
    <n v="5.0999999999999996"/>
    <x v="3"/>
    <n v="5"/>
    <n v="102259.2"/>
    <n v="52132.03"/>
    <n v="621"/>
    <x v="0"/>
    <x v="3"/>
    <n v="223933.49"/>
    <s v="Active"/>
    <s v="Debit Only"/>
    <n v="0"/>
    <n v="12"/>
    <n v="3763.37"/>
    <n v="89.6"/>
    <x v="4"/>
    <x v="1"/>
    <x v="3"/>
    <n v="252"/>
    <x v="0"/>
  </r>
  <r>
    <x v="348"/>
    <n v="64"/>
    <s v="Male"/>
    <s v="Divorced"/>
    <x v="0"/>
    <s v="Branch-Lakeview"/>
    <s v="Self-Employed"/>
    <s v="2019-03-29"/>
    <n v="7.3"/>
    <x v="1"/>
    <n v="3"/>
    <n v="106923.01"/>
    <n v="27273.56"/>
    <n v="750"/>
    <x v="2"/>
    <x v="3"/>
    <n v="2059355.8"/>
    <s v="Active"/>
    <s v="Debit Only"/>
    <n v="0"/>
    <n v="56"/>
    <n v="2953.18"/>
    <n v="78.2"/>
    <x v="0"/>
    <x v="3"/>
    <x v="4"/>
    <n v="170"/>
    <x v="0"/>
  </r>
  <r>
    <x v="349"/>
    <n v="43"/>
    <s v="Male"/>
    <s v="Married"/>
    <x v="3"/>
    <s v="Branch-Hillcrest"/>
    <s v="Retired"/>
    <s v="2026-05-06"/>
    <n v="0.2"/>
    <x v="2"/>
    <n v="5"/>
    <n v="0"/>
    <n v="23981.38"/>
    <n v="678"/>
    <x v="1"/>
    <x v="4"/>
    <n v="1970080"/>
    <s v="Active"/>
    <s v="None"/>
    <n v="0"/>
    <n v="40"/>
    <n v="10863.42"/>
    <n v="97"/>
    <x v="4"/>
    <x v="4"/>
    <x v="0"/>
    <n v="287"/>
    <x v="1"/>
  </r>
  <r>
    <x v="350"/>
    <n v="63"/>
    <s v="Female"/>
    <s v="Married"/>
    <x v="4"/>
    <s v="Branch-Westfield"/>
    <s v="Business Owner"/>
    <s v="2024-12-29"/>
    <n v="1.5"/>
    <x v="1"/>
    <n v="3"/>
    <n v="77466.14"/>
    <n v="10380.83"/>
    <n v="712"/>
    <x v="1"/>
    <x v="1"/>
    <n v="0"/>
    <s v="N/A"/>
    <s v="Debit Only"/>
    <n v="0"/>
    <n v="25"/>
    <n v="5581.73"/>
    <n v="84.1"/>
    <x v="0"/>
    <x v="1"/>
    <x v="2"/>
    <n v="394"/>
    <x v="0"/>
  </r>
  <r>
    <x v="351"/>
    <n v="19"/>
    <s v="Female"/>
    <s v="Single"/>
    <x v="1"/>
    <s v="Branch-Hillcrest"/>
    <s v="Freelancer"/>
    <s v="2019-10-01"/>
    <n v="6.8"/>
    <x v="1"/>
    <n v="5"/>
    <n v="24104.86"/>
    <n v="37993.75"/>
    <n v="659"/>
    <x v="0"/>
    <x v="2"/>
    <n v="281896.3"/>
    <s v="Active"/>
    <s v="None"/>
    <n v="0"/>
    <n v="25"/>
    <n v="2002.93"/>
    <n v="39.700000000000003"/>
    <x v="1"/>
    <x v="3"/>
    <x v="1"/>
    <n v="149"/>
    <x v="0"/>
  </r>
  <r>
    <x v="352"/>
    <n v="66"/>
    <s v="Male"/>
    <s v="Divorced"/>
    <x v="4"/>
    <s v="Branch-Midtown"/>
    <s v="Salaried"/>
    <s v="2025-08-30"/>
    <n v="0.8"/>
    <x v="3"/>
    <n v="5"/>
    <n v="39051.86"/>
    <n v="71784.2"/>
    <n v="556"/>
    <x v="4"/>
    <x v="0"/>
    <n v="1302206.6299999999"/>
    <s v="Closed"/>
    <s v="Debit Only"/>
    <n v="0"/>
    <n v="22"/>
    <n v="12086.85"/>
    <n v="32.9"/>
    <x v="2"/>
    <x v="2"/>
    <x v="1"/>
    <n v="193"/>
    <x v="0"/>
  </r>
  <r>
    <x v="353"/>
    <n v="30"/>
    <s v="Female"/>
    <s v="Married"/>
    <x v="1"/>
    <s v="Branch-Midtown"/>
    <s v="Self-Employed"/>
    <s v="2024-01-22"/>
    <n v="2.4"/>
    <x v="1"/>
    <n v="1"/>
    <n v="89205.16"/>
    <n v="87431.76"/>
    <n v="850"/>
    <x v="3"/>
    <x v="1"/>
    <n v="0"/>
    <s v="N/A"/>
    <s v="Credit Only"/>
    <n v="295708.03000000003"/>
    <n v="38"/>
    <n v="9768.91"/>
    <n v="81.400000000000006"/>
    <x v="0"/>
    <x v="2"/>
    <x v="3"/>
    <n v="187"/>
    <x v="1"/>
  </r>
  <r>
    <x v="354"/>
    <n v="68"/>
    <s v="Female"/>
    <s v="Divorced"/>
    <x v="0"/>
    <s v="Branch-Downtown"/>
    <s v="Freelancer"/>
    <s v="2022-06-26"/>
    <n v="4"/>
    <x v="4"/>
    <n v="5"/>
    <n v="61651.11"/>
    <n v="67594.03"/>
    <n v="789"/>
    <x v="2"/>
    <x v="3"/>
    <n v="303613.83"/>
    <s v="Active"/>
    <s v="None"/>
    <n v="0"/>
    <n v="53"/>
    <n v="590.52"/>
    <n v="6.7"/>
    <x v="0"/>
    <x v="1"/>
    <x v="4"/>
    <n v="89"/>
    <x v="0"/>
  </r>
  <r>
    <x v="355"/>
    <n v="72"/>
    <s v="Male"/>
    <s v="Divorced"/>
    <x v="0"/>
    <s v="Branch-Riverside"/>
    <s v="Retired"/>
    <s v="2020-09-03"/>
    <n v="5.8"/>
    <x v="2"/>
    <n v="2"/>
    <n v="84321.97"/>
    <n v="69737.56"/>
    <n v="628"/>
    <x v="0"/>
    <x v="0"/>
    <n v="263699.25"/>
    <s v="Active"/>
    <s v="None"/>
    <n v="0"/>
    <n v="50"/>
    <n v="3461.54"/>
    <n v="15.9"/>
    <x v="2"/>
    <x v="1"/>
    <x v="4"/>
    <n v="143"/>
    <x v="0"/>
  </r>
  <r>
    <x v="356"/>
    <n v="26"/>
    <s v="Male"/>
    <s v="Single"/>
    <x v="2"/>
    <s v="Branch-Hillcrest"/>
    <s v="Business Owner"/>
    <s v="2021-01-21"/>
    <n v="5.4"/>
    <x v="1"/>
    <n v="1"/>
    <n v="4908.05"/>
    <n v="56706.26"/>
    <n v="749"/>
    <x v="2"/>
    <x v="5"/>
    <n v="1709125.05"/>
    <s v="Active"/>
    <s v="Both"/>
    <n v="233309.43"/>
    <n v="4"/>
    <n v="14868.51"/>
    <n v="94.8"/>
    <x v="2"/>
    <x v="1"/>
    <x v="4"/>
    <n v="389"/>
    <x v="0"/>
  </r>
  <r>
    <x v="357"/>
    <n v="63"/>
    <s v="Female"/>
    <s v="Widowed"/>
    <x v="1"/>
    <s v="Branch-Southpark"/>
    <s v="Retired"/>
    <s v="2021-05-23"/>
    <n v="5.0999999999999996"/>
    <x v="0"/>
    <n v="2"/>
    <n v="11557.29"/>
    <n v="86247.47"/>
    <n v="580"/>
    <x v="0"/>
    <x v="1"/>
    <n v="0"/>
    <s v="N/A"/>
    <s v="Both"/>
    <n v="225834.5"/>
    <n v="9"/>
    <n v="8690.32"/>
    <n v="70.099999999999994"/>
    <x v="0"/>
    <x v="3"/>
    <x v="0"/>
    <n v="179"/>
    <x v="0"/>
  </r>
  <r>
    <x v="358"/>
    <n v="73"/>
    <s v="Male"/>
    <s v="Married"/>
    <x v="4"/>
    <s v="Branch-Hillcrest"/>
    <s v="Self-Employed"/>
    <s v="2024-12-29"/>
    <n v="1.5"/>
    <x v="1"/>
    <n v="1"/>
    <n v="0"/>
    <n v="18749.71"/>
    <n v="706"/>
    <x v="1"/>
    <x v="1"/>
    <n v="0"/>
    <s v="N/A"/>
    <s v="Debit Only"/>
    <n v="0"/>
    <n v="11"/>
    <n v="1868.62"/>
    <n v="11.9"/>
    <x v="0"/>
    <x v="2"/>
    <x v="2"/>
    <n v="335"/>
    <x v="0"/>
  </r>
  <r>
    <x v="359"/>
    <n v="76"/>
    <s v="Female"/>
    <s v="Married"/>
    <x v="2"/>
    <s v="Branch-Hillcrest"/>
    <s v="Retired"/>
    <s v="2023-10-04"/>
    <n v="2.7"/>
    <x v="2"/>
    <n v="3"/>
    <n v="0"/>
    <n v="50532.65"/>
    <n v="484"/>
    <x v="4"/>
    <x v="1"/>
    <n v="0"/>
    <s v="N/A"/>
    <s v="Both"/>
    <n v="169041.97"/>
    <n v="30"/>
    <n v="2117.71"/>
    <n v="82.4"/>
    <x v="0"/>
    <x v="0"/>
    <x v="1"/>
    <n v="45"/>
    <x v="0"/>
  </r>
  <r>
    <x v="360"/>
    <n v="26"/>
    <s v="Male"/>
    <s v="Widowed"/>
    <x v="1"/>
    <s v="Branch-Hillcrest"/>
    <s v="Salaried"/>
    <s v="2019-09-03"/>
    <n v="6.8"/>
    <x v="1"/>
    <n v="3"/>
    <n v="0"/>
    <n v="19984.72"/>
    <n v="529"/>
    <x v="4"/>
    <x v="4"/>
    <n v="141731.09"/>
    <s v="Active"/>
    <s v="Both"/>
    <n v="474179.5"/>
    <n v="48"/>
    <n v="728.85"/>
    <n v="25.9"/>
    <x v="0"/>
    <x v="0"/>
    <x v="1"/>
    <n v="126"/>
    <x v="0"/>
  </r>
  <r>
    <x v="361"/>
    <n v="64"/>
    <s v="Male"/>
    <s v="Widowed"/>
    <x v="3"/>
    <s v="Branch-Eastwood"/>
    <s v="Student"/>
    <s v="2025-01-11"/>
    <n v="1.5"/>
    <x v="1"/>
    <n v="1"/>
    <n v="48874.64"/>
    <n v="35508.230000000003"/>
    <n v="677"/>
    <x v="1"/>
    <x v="5"/>
    <n v="1645906.84"/>
    <s v="Active"/>
    <s v="Credit Only"/>
    <n v="155669.89000000001"/>
    <n v="54"/>
    <n v="10952.53"/>
    <n v="32.4"/>
    <x v="4"/>
    <x v="2"/>
    <x v="0"/>
    <n v="52"/>
    <x v="0"/>
  </r>
  <r>
    <x v="362"/>
    <n v="57"/>
    <s v="Male"/>
    <s v="Married"/>
    <x v="4"/>
    <s v="Branch-Northgate"/>
    <s v="Self-Employed"/>
    <s v="2021-09-30"/>
    <n v="4.8"/>
    <x v="1"/>
    <n v="3"/>
    <n v="0"/>
    <n v="28206.74"/>
    <n v="548"/>
    <x v="4"/>
    <x v="3"/>
    <n v="772674.1"/>
    <s v="Closed"/>
    <s v="Both"/>
    <n v="68582.94"/>
    <n v="36"/>
    <n v="11413.49"/>
    <n v="39.299999999999997"/>
    <x v="0"/>
    <x v="0"/>
    <x v="1"/>
    <n v="38"/>
    <x v="0"/>
  </r>
  <r>
    <x v="363"/>
    <n v="43"/>
    <s v="Female"/>
    <s v="Divorced"/>
    <x v="4"/>
    <s v="Branch-Harborview"/>
    <s v="Freelancer"/>
    <s v="2020-03-30"/>
    <n v="6.3"/>
    <x v="4"/>
    <n v="4"/>
    <n v="83797.759999999995"/>
    <n v="62966.77"/>
    <n v="774"/>
    <x v="2"/>
    <x v="4"/>
    <n v="694594.1"/>
    <s v="Closed"/>
    <s v="Debit Only"/>
    <n v="0"/>
    <n v="37"/>
    <n v="11143.79"/>
    <n v="9.1"/>
    <x v="0"/>
    <x v="4"/>
    <x v="4"/>
    <n v="212"/>
    <x v="0"/>
  </r>
  <r>
    <x v="364"/>
    <n v="19"/>
    <s v="Male"/>
    <s v="Divorced"/>
    <x v="2"/>
    <s v="Branch-Riverside"/>
    <s v="Retired"/>
    <s v="2025-11-24"/>
    <n v="0.6"/>
    <x v="2"/>
    <n v="4"/>
    <n v="0"/>
    <n v="61447.34"/>
    <n v="735"/>
    <x v="1"/>
    <x v="1"/>
    <n v="0"/>
    <s v="N/A"/>
    <s v="Both"/>
    <n v="433618.7"/>
    <n v="57"/>
    <n v="5126.5"/>
    <n v="34.9"/>
    <x v="0"/>
    <x v="0"/>
    <x v="4"/>
    <n v="12"/>
    <x v="0"/>
  </r>
  <r>
    <x v="365"/>
    <n v="48"/>
    <s v="Male"/>
    <s v="Married"/>
    <x v="0"/>
    <s v="Branch-Oakridge"/>
    <s v="Freelancer"/>
    <s v="2020-09-16"/>
    <n v="5.8"/>
    <x v="0"/>
    <n v="2"/>
    <n v="37544.85"/>
    <n v="52130.58"/>
    <n v="545"/>
    <x v="4"/>
    <x v="5"/>
    <n v="1721866.39"/>
    <s v="Active"/>
    <s v="None"/>
    <n v="0"/>
    <n v="40"/>
    <n v="1165.3800000000001"/>
    <n v="24.2"/>
    <x v="0"/>
    <x v="2"/>
    <x v="3"/>
    <n v="227"/>
    <x v="0"/>
  </r>
  <r>
    <x v="366"/>
    <n v="77"/>
    <s v="Male"/>
    <s v="Single"/>
    <x v="1"/>
    <s v="Branch-Downtown"/>
    <s v="Salaried"/>
    <s v="2020-05-31"/>
    <n v="6.1"/>
    <x v="1"/>
    <n v="2"/>
    <n v="19652.11"/>
    <n v="71283.039999999994"/>
    <n v="576"/>
    <x v="4"/>
    <x v="2"/>
    <n v="897435.41"/>
    <s v="Active"/>
    <s v="None"/>
    <n v="0"/>
    <n v="29"/>
    <n v="11759.69"/>
    <n v="80.400000000000006"/>
    <x v="0"/>
    <x v="1"/>
    <x v="1"/>
    <n v="224"/>
    <x v="0"/>
  </r>
  <r>
    <x v="367"/>
    <n v="71"/>
    <s v="Female"/>
    <s v="Single"/>
    <x v="2"/>
    <s v="Branch-Oakridge"/>
    <s v="Self-Employed"/>
    <s v="2020-02-15"/>
    <n v="6.4"/>
    <x v="2"/>
    <n v="3"/>
    <n v="0"/>
    <n v="42631.55"/>
    <n v="850"/>
    <x v="3"/>
    <x v="3"/>
    <n v="1267778.45"/>
    <s v="Closed"/>
    <s v="Credit Only"/>
    <n v="188721.03"/>
    <n v="41"/>
    <n v="14805.66"/>
    <n v="8"/>
    <x v="0"/>
    <x v="1"/>
    <x v="1"/>
    <n v="23"/>
    <x v="0"/>
  </r>
  <r>
    <x v="368"/>
    <n v="64"/>
    <s v="Male"/>
    <s v="Married"/>
    <x v="2"/>
    <s v="Branch-Southpark"/>
    <s v="Business Owner"/>
    <s v="2022-06-24"/>
    <n v="4"/>
    <x v="1"/>
    <n v="2"/>
    <n v="70381.8"/>
    <n v="38998.31"/>
    <n v="704"/>
    <x v="1"/>
    <x v="5"/>
    <n v="2150528.2400000002"/>
    <s v="Active"/>
    <s v="Credit Only"/>
    <n v="377944.91"/>
    <n v="49"/>
    <n v="13584.41"/>
    <n v="39.299999999999997"/>
    <x v="0"/>
    <x v="0"/>
    <x v="2"/>
    <n v="393"/>
    <x v="0"/>
  </r>
  <r>
    <x v="369"/>
    <n v="60"/>
    <s v="Female"/>
    <s v="Single"/>
    <x v="3"/>
    <s v="Branch-Lakeview"/>
    <s v="Salaried"/>
    <s v="2025-11-22"/>
    <n v="0.6"/>
    <x v="0"/>
    <n v="3"/>
    <n v="35722.46"/>
    <n v="79993.100000000006"/>
    <n v="747"/>
    <x v="2"/>
    <x v="5"/>
    <n v="2425741.52"/>
    <s v="Active"/>
    <s v="Debit Only"/>
    <n v="0"/>
    <n v="31"/>
    <n v="310.86"/>
    <n v="73"/>
    <x v="1"/>
    <x v="4"/>
    <x v="1"/>
    <n v="297"/>
    <x v="1"/>
  </r>
  <r>
    <x v="370"/>
    <n v="35"/>
    <s v="Female"/>
    <s v="Widowed"/>
    <x v="3"/>
    <s v="Branch-Riverside"/>
    <s v="Self-Employed"/>
    <s v="2021-08-21"/>
    <n v="4.9000000000000004"/>
    <x v="2"/>
    <n v="1"/>
    <n v="3646.45"/>
    <n v="8000"/>
    <n v="812"/>
    <x v="3"/>
    <x v="3"/>
    <n v="2181493.94"/>
    <s v="Closed"/>
    <s v="Credit Only"/>
    <n v="494086.78"/>
    <n v="6"/>
    <n v="9260.73"/>
    <n v="48.3"/>
    <x v="1"/>
    <x v="2"/>
    <x v="4"/>
    <n v="242"/>
    <x v="0"/>
  </r>
  <r>
    <x v="371"/>
    <n v="20"/>
    <s v="Male"/>
    <s v="Divorced"/>
    <x v="3"/>
    <s v="Branch-Hillcrest"/>
    <s v="Business Owner"/>
    <s v="2021-07-07"/>
    <n v="5"/>
    <x v="1"/>
    <n v="5"/>
    <n v="0"/>
    <n v="111398.26"/>
    <n v="754"/>
    <x v="2"/>
    <x v="1"/>
    <n v="0"/>
    <s v="N/A"/>
    <s v="Both"/>
    <n v="277243.69"/>
    <n v="24"/>
    <n v="2630.95"/>
    <n v="85.3"/>
    <x v="0"/>
    <x v="0"/>
    <x v="4"/>
    <n v="363"/>
    <x v="0"/>
  </r>
  <r>
    <x v="372"/>
    <n v="44"/>
    <s v="Male"/>
    <s v="Single"/>
    <x v="4"/>
    <s v="Branch-Midtown"/>
    <s v="Freelancer"/>
    <s v="2022-11-16"/>
    <n v="3.6"/>
    <x v="2"/>
    <n v="2"/>
    <n v="37433.82"/>
    <n v="54602.09"/>
    <n v="593"/>
    <x v="0"/>
    <x v="5"/>
    <n v="758388.99"/>
    <s v="Active"/>
    <s v="Credit Only"/>
    <n v="470935.28"/>
    <n v="26"/>
    <n v="12547.7"/>
    <n v="99.6"/>
    <x v="0"/>
    <x v="1"/>
    <x v="4"/>
    <n v="281"/>
    <x v="0"/>
  </r>
  <r>
    <x v="373"/>
    <n v="77"/>
    <s v="Male"/>
    <s v="Widowed"/>
    <x v="4"/>
    <s v="Branch-Southpark"/>
    <s v="Self-Employed"/>
    <s v="2025-05-03"/>
    <n v="1.2"/>
    <x v="4"/>
    <n v="2"/>
    <n v="25851.53"/>
    <n v="29620.57"/>
    <n v="577"/>
    <x v="4"/>
    <x v="3"/>
    <n v="798687.72"/>
    <s v="Active"/>
    <s v="Credit Only"/>
    <n v="348082.02"/>
    <n v="3"/>
    <n v="3514.71"/>
    <n v="44.7"/>
    <x v="0"/>
    <x v="2"/>
    <x v="3"/>
    <n v="26"/>
    <x v="1"/>
  </r>
  <r>
    <x v="374"/>
    <n v="47"/>
    <s v="Male"/>
    <s v="Divorced"/>
    <x v="1"/>
    <s v="Branch-Northgate"/>
    <s v="Student"/>
    <s v="2018-12-11"/>
    <n v="7.6"/>
    <x v="1"/>
    <n v="2"/>
    <n v="10227.719999999999"/>
    <n v="91238.3"/>
    <n v="762"/>
    <x v="2"/>
    <x v="3"/>
    <n v="2063507.5"/>
    <s v="Closed"/>
    <s v="Both"/>
    <n v="404020.09"/>
    <n v="1"/>
    <n v="5454.79"/>
    <n v="54.9"/>
    <x v="0"/>
    <x v="3"/>
    <x v="1"/>
    <n v="77"/>
    <x v="0"/>
  </r>
  <r>
    <x v="375"/>
    <n v="69"/>
    <s v="Female"/>
    <s v="Divorced"/>
    <x v="3"/>
    <s v="Branch-Eastwood"/>
    <s v="Student"/>
    <s v="2022-12-14"/>
    <n v="3.5"/>
    <x v="0"/>
    <n v="4"/>
    <n v="78204.45"/>
    <n v="30745.46"/>
    <n v="677"/>
    <x v="1"/>
    <x v="2"/>
    <n v="69979.570000000007"/>
    <s v="Active"/>
    <s v="Debit Only"/>
    <n v="0"/>
    <n v="42"/>
    <n v="12270.84"/>
    <n v="54.9"/>
    <x v="2"/>
    <x v="0"/>
    <x v="1"/>
    <n v="42"/>
    <x v="0"/>
  </r>
  <r>
    <x v="376"/>
    <n v="28"/>
    <s v="Male"/>
    <s v="Widowed"/>
    <x v="0"/>
    <s v="Branch-Southpark"/>
    <s v="Freelancer"/>
    <s v="2020-05-04"/>
    <n v="6.2"/>
    <x v="0"/>
    <n v="5"/>
    <n v="27343.200000000001"/>
    <n v="70271.88"/>
    <n v="651"/>
    <x v="0"/>
    <x v="1"/>
    <n v="0"/>
    <s v="N/A"/>
    <s v="Credit Only"/>
    <n v="213252.04"/>
    <n v="39"/>
    <n v="9097"/>
    <n v="85.6"/>
    <x v="1"/>
    <x v="4"/>
    <x v="1"/>
    <n v="362"/>
    <x v="0"/>
  </r>
  <r>
    <x v="377"/>
    <n v="37"/>
    <s v="Female"/>
    <s v="Divorced"/>
    <x v="0"/>
    <s v="Branch-Harborview"/>
    <s v="Salaried"/>
    <s v="2021-08-12"/>
    <n v="4.9000000000000004"/>
    <x v="2"/>
    <n v="5"/>
    <n v="2794.76"/>
    <n v="30587.11"/>
    <n v="814"/>
    <x v="3"/>
    <x v="4"/>
    <n v="144778.13"/>
    <s v="Active"/>
    <s v="Both"/>
    <n v="440629.54"/>
    <n v="17"/>
    <n v="1476.8"/>
    <n v="38.1"/>
    <x v="1"/>
    <x v="1"/>
    <x v="2"/>
    <n v="44"/>
    <x v="0"/>
  </r>
  <r>
    <x v="378"/>
    <n v="40"/>
    <s v="Female"/>
    <s v="Divorced"/>
    <x v="1"/>
    <s v="Branch-Greenfield"/>
    <s v="Freelancer"/>
    <s v="2018-05-15"/>
    <n v="8.1"/>
    <x v="2"/>
    <n v="1"/>
    <n v="55337.75"/>
    <n v="57398.94"/>
    <n v="737"/>
    <x v="1"/>
    <x v="4"/>
    <n v="938422.94"/>
    <s v="Closed"/>
    <s v="Both"/>
    <n v="83302.36"/>
    <n v="10"/>
    <n v="14424.29"/>
    <n v="55.7"/>
    <x v="0"/>
    <x v="1"/>
    <x v="4"/>
    <n v="384"/>
    <x v="1"/>
  </r>
  <r>
    <x v="379"/>
    <n v="47"/>
    <s v="Male"/>
    <s v="Widowed"/>
    <x v="3"/>
    <s v="Branch-Eastwood"/>
    <s v="Student"/>
    <s v="2024-01-14"/>
    <n v="2.5"/>
    <x v="3"/>
    <n v="1"/>
    <n v="99914.74"/>
    <n v="51742.18"/>
    <n v="530"/>
    <x v="4"/>
    <x v="3"/>
    <n v="2390887.5499999998"/>
    <s v="Active"/>
    <s v="Credit Only"/>
    <n v="152670.18"/>
    <n v="42"/>
    <n v="5538.31"/>
    <n v="54.6"/>
    <x v="3"/>
    <x v="4"/>
    <x v="4"/>
    <n v="70"/>
    <x v="0"/>
  </r>
  <r>
    <x v="380"/>
    <n v="73"/>
    <s v="Female"/>
    <s v="Married"/>
    <x v="4"/>
    <s v="Branch-Midtown"/>
    <s v="Freelancer"/>
    <s v="2025-03-20"/>
    <n v="1.3"/>
    <x v="2"/>
    <n v="1"/>
    <n v="139013.13"/>
    <n v="48772.31"/>
    <n v="549"/>
    <x v="4"/>
    <x v="3"/>
    <n v="2130611.65"/>
    <s v="Closed"/>
    <s v="None"/>
    <n v="0"/>
    <n v="18"/>
    <n v="3160.56"/>
    <n v="47.9"/>
    <x v="4"/>
    <x v="1"/>
    <x v="4"/>
    <n v="186"/>
    <x v="0"/>
  </r>
  <r>
    <x v="381"/>
    <n v="29"/>
    <s v="Female"/>
    <s v="Divorced"/>
    <x v="4"/>
    <s v="Branch-Greenfield"/>
    <s v="Freelancer"/>
    <s v="2020-10-15"/>
    <n v="5.7"/>
    <x v="1"/>
    <n v="2"/>
    <n v="47337.27"/>
    <n v="75634.41"/>
    <n v="616"/>
    <x v="0"/>
    <x v="1"/>
    <n v="0"/>
    <s v="N/A"/>
    <s v="Both"/>
    <n v="96922.15"/>
    <n v="52"/>
    <n v="10203.15"/>
    <n v="79.599999999999994"/>
    <x v="0"/>
    <x v="1"/>
    <x v="4"/>
    <n v="221"/>
    <x v="1"/>
  </r>
  <r>
    <x v="382"/>
    <n v="34"/>
    <s v="Female"/>
    <s v="Married"/>
    <x v="2"/>
    <s v="Branch-Eastwood"/>
    <s v="Student"/>
    <s v="2023-04-16"/>
    <n v="3.2"/>
    <x v="1"/>
    <n v="1"/>
    <n v="64894.04"/>
    <n v="41770.269999999997"/>
    <n v="593"/>
    <x v="0"/>
    <x v="5"/>
    <n v="217695.45"/>
    <s v="Closed"/>
    <s v="Both"/>
    <n v="439235.27"/>
    <n v="26"/>
    <n v="6109.46"/>
    <n v="78"/>
    <x v="4"/>
    <x v="2"/>
    <x v="0"/>
    <n v="84"/>
    <x v="1"/>
  </r>
  <r>
    <x v="383"/>
    <n v="19"/>
    <s v="Female"/>
    <s v="Single"/>
    <x v="0"/>
    <s v="Branch-Oakridge"/>
    <s v="Student"/>
    <s v="2022-08-02"/>
    <n v="3.9"/>
    <x v="2"/>
    <n v="1"/>
    <n v="0"/>
    <n v="52968.37"/>
    <n v="838"/>
    <x v="3"/>
    <x v="1"/>
    <n v="0"/>
    <s v="N/A"/>
    <s v="Both"/>
    <n v="242787.47"/>
    <n v="42"/>
    <n v="13925.34"/>
    <n v="94.5"/>
    <x v="0"/>
    <x v="1"/>
    <x v="0"/>
    <n v="261"/>
    <x v="0"/>
  </r>
  <r>
    <x v="384"/>
    <n v="57"/>
    <s v="Female"/>
    <s v="Married"/>
    <x v="4"/>
    <s v="Branch-Hillcrest"/>
    <s v="Retired"/>
    <s v="2020-07-22"/>
    <n v="5.9"/>
    <x v="4"/>
    <n v="5"/>
    <n v="0"/>
    <n v="38336.870000000003"/>
    <n v="728"/>
    <x v="1"/>
    <x v="0"/>
    <n v="951338.35"/>
    <s v="Active"/>
    <s v="Credit Only"/>
    <n v="120638.54"/>
    <n v="12"/>
    <n v="3730.07"/>
    <n v="74.7"/>
    <x v="0"/>
    <x v="2"/>
    <x v="0"/>
    <n v="107"/>
    <x v="0"/>
  </r>
  <r>
    <x v="385"/>
    <n v="43"/>
    <s v="Male"/>
    <s v="Widowed"/>
    <x v="3"/>
    <s v="Branch-Harborview"/>
    <s v="Salaried"/>
    <s v="2021-10-07"/>
    <n v="4.7"/>
    <x v="3"/>
    <n v="4"/>
    <n v="6847.9"/>
    <n v="8000"/>
    <n v="674"/>
    <x v="1"/>
    <x v="5"/>
    <n v="788174.02"/>
    <s v="Active"/>
    <s v="Debit Only"/>
    <n v="0"/>
    <n v="47"/>
    <n v="6931.37"/>
    <n v="92.2"/>
    <x v="1"/>
    <x v="1"/>
    <x v="2"/>
    <n v="4"/>
    <x v="0"/>
  </r>
  <r>
    <x v="386"/>
    <n v="64"/>
    <s v="Male"/>
    <s v="Single"/>
    <x v="3"/>
    <s v="Branch-Eastwood"/>
    <s v="Business Owner"/>
    <s v="2021-08-28"/>
    <n v="4.8"/>
    <x v="2"/>
    <n v="4"/>
    <n v="0"/>
    <n v="39657.68"/>
    <n v="727"/>
    <x v="1"/>
    <x v="1"/>
    <n v="0"/>
    <s v="N/A"/>
    <s v="Debit Only"/>
    <n v="0"/>
    <n v="46"/>
    <n v="3911.58"/>
    <n v="19.2"/>
    <x v="1"/>
    <x v="4"/>
    <x v="4"/>
    <n v="0"/>
    <x v="0"/>
  </r>
  <r>
    <x v="387"/>
    <n v="63"/>
    <s v="Male"/>
    <s v="Divorced"/>
    <x v="0"/>
    <s v="Branch-Harborview"/>
    <s v="Self-Employed"/>
    <s v="2025-10-28"/>
    <n v="0.7"/>
    <x v="1"/>
    <n v="4"/>
    <n v="23095.08"/>
    <n v="36690.85"/>
    <n v="637"/>
    <x v="0"/>
    <x v="1"/>
    <n v="0"/>
    <s v="N/A"/>
    <s v="None"/>
    <n v="0"/>
    <n v="49"/>
    <n v="13319.57"/>
    <n v="19"/>
    <x v="2"/>
    <x v="1"/>
    <x v="1"/>
    <n v="393"/>
    <x v="1"/>
  </r>
  <r>
    <x v="388"/>
    <n v="37"/>
    <s v="Female"/>
    <s v="Married"/>
    <x v="2"/>
    <s v="Branch-Lakeview"/>
    <s v="Salaried"/>
    <s v="2023-09-24"/>
    <n v="2.8"/>
    <x v="0"/>
    <n v="3"/>
    <n v="97322.33"/>
    <n v="42046.83"/>
    <n v="579"/>
    <x v="4"/>
    <x v="5"/>
    <n v="802080.83"/>
    <s v="Active"/>
    <s v="None"/>
    <n v="0"/>
    <n v="14"/>
    <n v="14742.51"/>
    <n v="21.1"/>
    <x v="0"/>
    <x v="3"/>
    <x v="4"/>
    <n v="266"/>
    <x v="0"/>
  </r>
  <r>
    <x v="389"/>
    <n v="74"/>
    <s v="Male"/>
    <s v="Widowed"/>
    <x v="3"/>
    <s v="Branch-Harborview"/>
    <s v="Self-Employed"/>
    <s v="2023-07-19"/>
    <n v="3"/>
    <x v="0"/>
    <n v="2"/>
    <n v="41471.040000000001"/>
    <n v="75791.179999999993"/>
    <n v="616"/>
    <x v="0"/>
    <x v="1"/>
    <n v="0"/>
    <s v="N/A"/>
    <s v="Both"/>
    <n v="180436.77"/>
    <n v="6"/>
    <n v="14284.86"/>
    <n v="21.4"/>
    <x v="0"/>
    <x v="1"/>
    <x v="4"/>
    <n v="108"/>
    <x v="0"/>
  </r>
  <r>
    <x v="390"/>
    <n v="57"/>
    <s v="Male"/>
    <s v="Divorced"/>
    <x v="4"/>
    <s v="Branch-Oakridge"/>
    <s v="Business Owner"/>
    <s v="2025-03-27"/>
    <n v="1.3"/>
    <x v="3"/>
    <n v="2"/>
    <n v="0"/>
    <n v="34782.36"/>
    <n v="604"/>
    <x v="0"/>
    <x v="1"/>
    <n v="0"/>
    <s v="N/A"/>
    <s v="Credit Only"/>
    <n v="423163.56"/>
    <n v="19"/>
    <n v="8237.4500000000007"/>
    <n v="0.6"/>
    <x v="3"/>
    <x v="4"/>
    <x v="4"/>
    <n v="343"/>
    <x v="1"/>
  </r>
  <r>
    <x v="391"/>
    <n v="36"/>
    <s v="Male"/>
    <s v="Married"/>
    <x v="4"/>
    <s v="Branch-Hillcrest"/>
    <s v="Freelancer"/>
    <s v="2019-05-22"/>
    <n v="7.1"/>
    <x v="1"/>
    <n v="4"/>
    <n v="0"/>
    <n v="40765.47"/>
    <n v="591"/>
    <x v="0"/>
    <x v="2"/>
    <n v="1233783.27"/>
    <s v="Active"/>
    <s v="None"/>
    <n v="0"/>
    <n v="15"/>
    <n v="3697.44"/>
    <n v="81.599999999999994"/>
    <x v="1"/>
    <x v="1"/>
    <x v="2"/>
    <n v="348"/>
    <x v="0"/>
  </r>
  <r>
    <x v="392"/>
    <n v="66"/>
    <s v="Female"/>
    <s v="Married"/>
    <x v="0"/>
    <s v="Branch-Westfield"/>
    <s v="Self-Employed"/>
    <s v="2026-01-27"/>
    <n v="0.4"/>
    <x v="0"/>
    <n v="4"/>
    <n v="0"/>
    <n v="55596.639999999999"/>
    <n v="772"/>
    <x v="2"/>
    <x v="2"/>
    <n v="651383.63"/>
    <s v="Closed"/>
    <s v="Both"/>
    <n v="123476.03"/>
    <n v="51"/>
    <n v="5961"/>
    <n v="12.8"/>
    <x v="1"/>
    <x v="2"/>
    <x v="1"/>
    <n v="232"/>
    <x v="0"/>
  </r>
  <r>
    <x v="393"/>
    <n v="29"/>
    <s v="Female"/>
    <s v="Widowed"/>
    <x v="4"/>
    <s v="Branch-Westfield"/>
    <s v="Student"/>
    <s v="2023-04-05"/>
    <n v="3.2"/>
    <x v="1"/>
    <n v="3"/>
    <n v="20504.97"/>
    <n v="37793.83"/>
    <n v="482"/>
    <x v="4"/>
    <x v="5"/>
    <n v="1389175.01"/>
    <s v="Closed"/>
    <s v="Both"/>
    <n v="80963.399999999994"/>
    <n v="15"/>
    <n v="12189.66"/>
    <n v="84.1"/>
    <x v="0"/>
    <x v="2"/>
    <x v="2"/>
    <n v="196"/>
    <x v="0"/>
  </r>
  <r>
    <x v="394"/>
    <n v="59"/>
    <s v="Male"/>
    <s v="Married"/>
    <x v="1"/>
    <s v="Branch-Northgate"/>
    <s v="Self-Employed"/>
    <s v="2024-07-25"/>
    <n v="1.9"/>
    <x v="0"/>
    <n v="3"/>
    <n v="7120.2"/>
    <n v="43910.85"/>
    <n v="620"/>
    <x v="0"/>
    <x v="4"/>
    <n v="1018049.65"/>
    <s v="Active"/>
    <s v="Debit Only"/>
    <n v="0"/>
    <n v="19"/>
    <n v="4353.96"/>
    <n v="35.799999999999997"/>
    <x v="1"/>
    <x v="4"/>
    <x v="4"/>
    <n v="209"/>
    <x v="0"/>
  </r>
  <r>
    <x v="395"/>
    <n v="66"/>
    <s v="Female"/>
    <s v="Divorced"/>
    <x v="1"/>
    <s v="Branch-Lakeview"/>
    <s v="Retired"/>
    <s v="2024-09-26"/>
    <n v="1.8"/>
    <x v="2"/>
    <n v="3"/>
    <n v="37225.79"/>
    <n v="79406.740000000005"/>
    <n v="661"/>
    <x v="0"/>
    <x v="5"/>
    <n v="1853091.19"/>
    <s v="Active"/>
    <s v="Debit Only"/>
    <n v="0"/>
    <n v="16"/>
    <n v="4703.2299999999996"/>
    <n v="27.4"/>
    <x v="1"/>
    <x v="3"/>
    <x v="1"/>
    <n v="211"/>
    <x v="0"/>
  </r>
  <r>
    <x v="396"/>
    <n v="68"/>
    <s v="Female"/>
    <s v="Married"/>
    <x v="2"/>
    <s v="Branch-Northgate"/>
    <s v="Retired"/>
    <s v="2020-11-25"/>
    <n v="5.6"/>
    <x v="3"/>
    <n v="5"/>
    <n v="24804.16"/>
    <n v="8000"/>
    <n v="790"/>
    <x v="2"/>
    <x v="3"/>
    <n v="1931859.66"/>
    <s v="Closed"/>
    <s v="None"/>
    <n v="0"/>
    <n v="39"/>
    <n v="3669.26"/>
    <n v="15.4"/>
    <x v="4"/>
    <x v="0"/>
    <x v="0"/>
    <n v="147"/>
    <x v="1"/>
  </r>
  <r>
    <x v="397"/>
    <n v="39"/>
    <s v="Female"/>
    <s v="Married"/>
    <x v="3"/>
    <s v="Branch-Oakridge"/>
    <s v="Salaried"/>
    <s v="2025-12-24"/>
    <n v="0.5"/>
    <x v="4"/>
    <n v="5"/>
    <n v="0"/>
    <n v="29149.77"/>
    <n v="673"/>
    <x v="1"/>
    <x v="5"/>
    <n v="1754642.02"/>
    <s v="Active"/>
    <s v="Credit Only"/>
    <n v="226837.77"/>
    <n v="56"/>
    <n v="6489.35"/>
    <n v="70.599999999999994"/>
    <x v="0"/>
    <x v="3"/>
    <x v="1"/>
    <n v="251"/>
    <x v="0"/>
  </r>
  <r>
    <x v="398"/>
    <n v="55"/>
    <s v="Male"/>
    <s v="Single"/>
    <x v="1"/>
    <s v="Branch-Northgate"/>
    <s v="Retired"/>
    <s v="2018-06-08"/>
    <n v="8.1"/>
    <x v="1"/>
    <n v="5"/>
    <n v="129383.55"/>
    <n v="65857.09"/>
    <n v="619"/>
    <x v="0"/>
    <x v="5"/>
    <n v="2496960.38"/>
    <s v="Active"/>
    <s v="Debit Only"/>
    <n v="0"/>
    <n v="10"/>
    <n v="11024.54"/>
    <n v="25.3"/>
    <x v="2"/>
    <x v="4"/>
    <x v="1"/>
    <n v="308"/>
    <x v="0"/>
  </r>
  <r>
    <x v="399"/>
    <n v="43"/>
    <s v="Female"/>
    <s v="Married"/>
    <x v="4"/>
    <s v="Branch-Southpark"/>
    <s v="Salaried"/>
    <s v="2021-05-15"/>
    <n v="5.0999999999999996"/>
    <x v="1"/>
    <n v="1"/>
    <n v="114918.48"/>
    <n v="74705.490000000005"/>
    <n v="708"/>
    <x v="1"/>
    <x v="2"/>
    <n v="345440.33"/>
    <s v="Closed"/>
    <s v="None"/>
    <n v="0"/>
    <n v="49"/>
    <n v="2969.01"/>
    <n v="76.7"/>
    <x v="1"/>
    <x v="0"/>
    <x v="0"/>
    <n v="169"/>
    <x v="0"/>
  </r>
  <r>
    <x v="400"/>
    <n v="56"/>
    <s v="Male"/>
    <s v="Widowed"/>
    <x v="4"/>
    <s v="Branch-Southpark"/>
    <s v="Self-Employed"/>
    <s v="2019-09-23"/>
    <n v="6.8"/>
    <x v="1"/>
    <n v="3"/>
    <n v="51552.86"/>
    <n v="37888.370000000003"/>
    <n v="578"/>
    <x v="4"/>
    <x v="4"/>
    <n v="880952.89"/>
    <s v="Active"/>
    <s v="Credit Only"/>
    <n v="77723.02"/>
    <n v="4"/>
    <n v="2467.35"/>
    <n v="78"/>
    <x v="0"/>
    <x v="1"/>
    <x v="1"/>
    <n v="229"/>
    <x v="0"/>
  </r>
  <r>
    <x v="401"/>
    <n v="67"/>
    <s v="Male"/>
    <s v="Married"/>
    <x v="3"/>
    <s v="Branch-Midtown"/>
    <s v="Salaried"/>
    <s v="2023-09-06"/>
    <n v="2.8"/>
    <x v="2"/>
    <n v="4"/>
    <n v="122074.2"/>
    <n v="16203.32"/>
    <n v="624"/>
    <x v="0"/>
    <x v="4"/>
    <n v="1856981.89"/>
    <s v="Defaulted"/>
    <s v="Debit Only"/>
    <n v="0"/>
    <n v="24"/>
    <n v="10217.34"/>
    <n v="86.9"/>
    <x v="1"/>
    <x v="3"/>
    <x v="4"/>
    <n v="140"/>
    <x v="0"/>
  </r>
  <r>
    <x v="402"/>
    <n v="48"/>
    <s v="Female"/>
    <s v="Divorced"/>
    <x v="1"/>
    <s v="Branch-Hillcrest"/>
    <s v="Student"/>
    <s v="2020-07-02"/>
    <n v="6"/>
    <x v="1"/>
    <n v="1"/>
    <n v="60151.17"/>
    <n v="76555.710000000006"/>
    <n v="670"/>
    <x v="1"/>
    <x v="5"/>
    <n v="1443869.13"/>
    <s v="Closed"/>
    <s v="Both"/>
    <n v="273286.42"/>
    <n v="22"/>
    <n v="6060.29"/>
    <n v="23"/>
    <x v="0"/>
    <x v="0"/>
    <x v="2"/>
    <n v="293"/>
    <x v="0"/>
  </r>
  <r>
    <x v="403"/>
    <n v="57"/>
    <s v="Female"/>
    <s v="Divorced"/>
    <x v="1"/>
    <s v="Branch-Southpark"/>
    <s v="Retired"/>
    <s v="2018-04-14"/>
    <n v="8.1999999999999993"/>
    <x v="0"/>
    <n v="3"/>
    <n v="61518.44"/>
    <n v="28820.55"/>
    <n v="713"/>
    <x v="1"/>
    <x v="5"/>
    <n v="1907307.32"/>
    <s v="Closed"/>
    <s v="None"/>
    <n v="0"/>
    <n v="1"/>
    <n v="6605.27"/>
    <n v="66.7"/>
    <x v="2"/>
    <x v="1"/>
    <x v="1"/>
    <n v="170"/>
    <x v="0"/>
  </r>
  <r>
    <x v="404"/>
    <n v="27"/>
    <s v="Male"/>
    <s v="Widowed"/>
    <x v="3"/>
    <s v="Branch-Downtown"/>
    <s v="Retired"/>
    <s v="2021-12-16"/>
    <n v="4.5"/>
    <x v="2"/>
    <n v="5"/>
    <n v="0"/>
    <n v="56040.69"/>
    <n v="681"/>
    <x v="1"/>
    <x v="3"/>
    <n v="880291.71"/>
    <s v="Defaulted"/>
    <s v="Credit Only"/>
    <n v="148020.25"/>
    <n v="19"/>
    <n v="1153.76"/>
    <n v="75.3"/>
    <x v="0"/>
    <x v="1"/>
    <x v="1"/>
    <n v="80"/>
    <x v="0"/>
  </r>
  <r>
    <x v="405"/>
    <n v="24"/>
    <s v="Male"/>
    <s v="Married"/>
    <x v="3"/>
    <s v="Branch-Downtown"/>
    <s v="Self-Employed"/>
    <s v="2019-05-26"/>
    <n v="7.1"/>
    <x v="0"/>
    <n v="5"/>
    <n v="165906.70000000001"/>
    <n v="34934.449999999997"/>
    <n v="703"/>
    <x v="1"/>
    <x v="1"/>
    <n v="0"/>
    <s v="N/A"/>
    <s v="Debit Only"/>
    <n v="0"/>
    <n v="51"/>
    <n v="7089.19"/>
    <n v="79.099999999999994"/>
    <x v="1"/>
    <x v="4"/>
    <x v="0"/>
    <n v="75"/>
    <x v="0"/>
  </r>
  <r>
    <x v="406"/>
    <n v="26"/>
    <s v="Female"/>
    <s v="Divorced"/>
    <x v="1"/>
    <s v="Branch-Hillcrest"/>
    <s v="Freelancer"/>
    <s v="2019-03-05"/>
    <n v="7.3"/>
    <x v="2"/>
    <n v="5"/>
    <n v="37423.54"/>
    <n v="48246.18"/>
    <n v="688"/>
    <x v="1"/>
    <x v="1"/>
    <n v="0"/>
    <s v="N/A"/>
    <s v="None"/>
    <n v="0"/>
    <n v="3"/>
    <n v="11997.51"/>
    <n v="57.1"/>
    <x v="0"/>
    <x v="2"/>
    <x v="4"/>
    <n v="211"/>
    <x v="0"/>
  </r>
  <r>
    <x v="407"/>
    <n v="59"/>
    <s v="Male"/>
    <s v="Widowed"/>
    <x v="0"/>
    <s v="Branch-Eastwood"/>
    <s v="Business Owner"/>
    <s v="2022-01-07"/>
    <n v="4.5"/>
    <x v="0"/>
    <n v="3"/>
    <n v="0"/>
    <n v="61034"/>
    <n v="515"/>
    <x v="4"/>
    <x v="2"/>
    <n v="2065113.04"/>
    <s v="Active"/>
    <s v="Credit Only"/>
    <n v="246955.43"/>
    <n v="46"/>
    <n v="14211.2"/>
    <n v="15.4"/>
    <x v="1"/>
    <x v="0"/>
    <x v="1"/>
    <n v="384"/>
    <x v="0"/>
  </r>
  <r>
    <x v="408"/>
    <n v="55"/>
    <s v="Male"/>
    <s v="Divorced"/>
    <x v="4"/>
    <s v="Branch-Eastwood"/>
    <s v="Salaried"/>
    <s v="2023-11-04"/>
    <n v="2.7"/>
    <x v="0"/>
    <n v="1"/>
    <n v="29663.37"/>
    <n v="45178.52"/>
    <n v="790"/>
    <x v="2"/>
    <x v="1"/>
    <n v="0"/>
    <s v="N/A"/>
    <s v="None"/>
    <n v="0"/>
    <n v="24"/>
    <n v="12593.45"/>
    <n v="89.9"/>
    <x v="0"/>
    <x v="0"/>
    <x v="1"/>
    <n v="237"/>
    <x v="0"/>
  </r>
  <r>
    <x v="409"/>
    <n v="57"/>
    <s v="Male"/>
    <s v="Widowed"/>
    <x v="3"/>
    <s v="Branch-Greenfield"/>
    <s v="Salaried"/>
    <s v="2020-02-24"/>
    <n v="6.4"/>
    <x v="0"/>
    <n v="5"/>
    <n v="83586.34"/>
    <n v="13304.76"/>
    <n v="712"/>
    <x v="1"/>
    <x v="1"/>
    <n v="0"/>
    <s v="N/A"/>
    <s v="Credit Only"/>
    <n v="93698"/>
    <n v="2"/>
    <n v="3022.13"/>
    <n v="57.1"/>
    <x v="1"/>
    <x v="3"/>
    <x v="0"/>
    <n v="51"/>
    <x v="0"/>
  </r>
  <r>
    <x v="410"/>
    <n v="47"/>
    <s v="Male"/>
    <s v="Married"/>
    <x v="0"/>
    <s v="Branch-Oakridge"/>
    <s v="Freelancer"/>
    <s v="2022-11-01"/>
    <n v="3.7"/>
    <x v="0"/>
    <n v="1"/>
    <n v="57026.96"/>
    <n v="55170.13"/>
    <n v="653"/>
    <x v="0"/>
    <x v="2"/>
    <n v="2237916.08"/>
    <s v="Active"/>
    <s v="Debit Only"/>
    <n v="0"/>
    <n v="39"/>
    <n v="1625.6"/>
    <n v="6.3"/>
    <x v="2"/>
    <x v="2"/>
    <x v="4"/>
    <n v="317"/>
    <x v="1"/>
  </r>
  <r>
    <x v="411"/>
    <n v="27"/>
    <s v="Female"/>
    <s v="Widowed"/>
    <x v="3"/>
    <s v="Branch-Eastwood"/>
    <s v="Self-Employed"/>
    <s v="2021-06-14"/>
    <n v="5"/>
    <x v="1"/>
    <n v="4"/>
    <n v="0"/>
    <n v="79402.27"/>
    <n v="687"/>
    <x v="1"/>
    <x v="1"/>
    <n v="0"/>
    <s v="N/A"/>
    <s v="Credit Only"/>
    <n v="127561.89"/>
    <n v="16"/>
    <n v="2317.96"/>
    <n v="97.5"/>
    <x v="2"/>
    <x v="1"/>
    <x v="1"/>
    <n v="115"/>
    <x v="0"/>
  </r>
  <r>
    <x v="412"/>
    <n v="42"/>
    <s v="Female"/>
    <s v="Married"/>
    <x v="1"/>
    <s v="Branch-Midtown"/>
    <s v="Salaried"/>
    <s v="2021-11-28"/>
    <n v="4.5999999999999996"/>
    <x v="1"/>
    <n v="3"/>
    <n v="40399.29"/>
    <n v="23419.87"/>
    <n v="690"/>
    <x v="1"/>
    <x v="1"/>
    <n v="0"/>
    <s v="N/A"/>
    <s v="Debit Only"/>
    <n v="0"/>
    <n v="51"/>
    <n v="281.89"/>
    <n v="61.6"/>
    <x v="0"/>
    <x v="1"/>
    <x v="4"/>
    <n v="348"/>
    <x v="0"/>
  </r>
  <r>
    <x v="413"/>
    <n v="44"/>
    <s v="Male"/>
    <s v="Married"/>
    <x v="1"/>
    <s v="Branch-Midtown"/>
    <s v="Student"/>
    <s v="2020-05-15"/>
    <n v="6.1"/>
    <x v="2"/>
    <n v="2"/>
    <n v="82096.649999999994"/>
    <n v="58794.93"/>
    <n v="743"/>
    <x v="2"/>
    <x v="3"/>
    <n v="1445572.35"/>
    <s v="Closed"/>
    <s v="Both"/>
    <n v="346097.88"/>
    <n v="44"/>
    <n v="13518.6"/>
    <n v="81.099999999999994"/>
    <x v="1"/>
    <x v="3"/>
    <x v="2"/>
    <n v="35"/>
    <x v="0"/>
  </r>
  <r>
    <x v="414"/>
    <n v="26"/>
    <s v="Male"/>
    <s v="Single"/>
    <x v="0"/>
    <s v="Branch-Downtown"/>
    <s v="Self-Employed"/>
    <s v="2020-08-28"/>
    <n v="5.8"/>
    <x v="2"/>
    <n v="5"/>
    <n v="0"/>
    <n v="51232.34"/>
    <n v="724"/>
    <x v="1"/>
    <x v="1"/>
    <n v="0"/>
    <s v="N/A"/>
    <s v="Both"/>
    <n v="298625.87"/>
    <n v="23"/>
    <n v="10094.65"/>
    <n v="76.5"/>
    <x v="0"/>
    <x v="2"/>
    <x v="2"/>
    <n v="41"/>
    <x v="0"/>
  </r>
  <r>
    <x v="415"/>
    <n v="23"/>
    <s v="Female"/>
    <s v="Married"/>
    <x v="4"/>
    <s v="Branch-Southpark"/>
    <s v="Freelancer"/>
    <s v="2025-04-26"/>
    <n v="1.2"/>
    <x v="3"/>
    <n v="2"/>
    <n v="0"/>
    <n v="27489.03"/>
    <n v="751"/>
    <x v="2"/>
    <x v="1"/>
    <n v="0"/>
    <s v="N/A"/>
    <s v="Both"/>
    <n v="112901.5"/>
    <n v="0"/>
    <n v="9680.27"/>
    <n v="58"/>
    <x v="0"/>
    <x v="2"/>
    <x v="1"/>
    <n v="160"/>
    <x v="1"/>
  </r>
  <r>
    <x v="416"/>
    <n v="69"/>
    <s v="Female"/>
    <s v="Single"/>
    <x v="2"/>
    <s v="Branch-Southpark"/>
    <s v="Salaried"/>
    <s v="2020-10-12"/>
    <n v="5.7"/>
    <x v="4"/>
    <n v="1"/>
    <n v="130551.34"/>
    <n v="52112.75"/>
    <n v="750"/>
    <x v="2"/>
    <x v="1"/>
    <n v="0"/>
    <s v="N/A"/>
    <s v="Credit Only"/>
    <n v="354803.93"/>
    <n v="27"/>
    <n v="7240.74"/>
    <n v="0.8"/>
    <x v="0"/>
    <x v="1"/>
    <x v="1"/>
    <n v="129"/>
    <x v="0"/>
  </r>
  <r>
    <x v="417"/>
    <n v="66"/>
    <s v="Female"/>
    <s v="Widowed"/>
    <x v="1"/>
    <s v="Branch-Harborview"/>
    <s v="Student"/>
    <s v="2020-11-06"/>
    <n v="5.6"/>
    <x v="1"/>
    <n v="3"/>
    <n v="21487.69"/>
    <n v="65010.99"/>
    <n v="647"/>
    <x v="0"/>
    <x v="4"/>
    <n v="1200314.23"/>
    <s v="Defaulted"/>
    <s v="Both"/>
    <n v="426618.26"/>
    <n v="30"/>
    <n v="14002.27"/>
    <n v="37.6"/>
    <x v="0"/>
    <x v="1"/>
    <x v="1"/>
    <n v="282"/>
    <x v="1"/>
  </r>
  <r>
    <x v="418"/>
    <n v="55"/>
    <s v="Female"/>
    <s v="Married"/>
    <x v="2"/>
    <s v="Branch-Eastwood"/>
    <s v="Business Owner"/>
    <s v="2025-06-20"/>
    <n v="1"/>
    <x v="4"/>
    <n v="1"/>
    <n v="93316.78"/>
    <n v="38401.870000000003"/>
    <n v="806"/>
    <x v="3"/>
    <x v="1"/>
    <n v="0"/>
    <s v="N/A"/>
    <s v="None"/>
    <n v="0"/>
    <n v="44"/>
    <n v="14613.7"/>
    <n v="63.4"/>
    <x v="0"/>
    <x v="4"/>
    <x v="3"/>
    <n v="127"/>
    <x v="1"/>
  </r>
  <r>
    <x v="419"/>
    <n v="48"/>
    <s v="Male"/>
    <s v="Widowed"/>
    <x v="4"/>
    <s v="Branch-Oakridge"/>
    <s v="Student"/>
    <s v="2020-01-21"/>
    <n v="6.4"/>
    <x v="0"/>
    <n v="3"/>
    <n v="7355.4"/>
    <n v="8000"/>
    <n v="800"/>
    <x v="3"/>
    <x v="0"/>
    <n v="1020722.16"/>
    <s v="Active"/>
    <s v="Debit Only"/>
    <n v="0"/>
    <n v="2"/>
    <n v="2090.8000000000002"/>
    <n v="25.9"/>
    <x v="1"/>
    <x v="2"/>
    <x v="1"/>
    <n v="195"/>
    <x v="0"/>
  </r>
  <r>
    <x v="420"/>
    <n v="66"/>
    <s v="Female"/>
    <s v="Married"/>
    <x v="1"/>
    <s v="Branch-Harborview"/>
    <s v="Business Owner"/>
    <s v="2021-04-22"/>
    <n v="5.2"/>
    <x v="3"/>
    <n v="2"/>
    <n v="0"/>
    <n v="32595.02"/>
    <n v="705"/>
    <x v="1"/>
    <x v="1"/>
    <n v="0"/>
    <s v="N/A"/>
    <s v="Credit Only"/>
    <n v="492606.58"/>
    <n v="18"/>
    <n v="3266.44"/>
    <n v="7.2"/>
    <x v="0"/>
    <x v="0"/>
    <x v="4"/>
    <n v="258"/>
    <x v="1"/>
  </r>
  <r>
    <x v="421"/>
    <n v="45"/>
    <s v="Male"/>
    <s v="Widowed"/>
    <x v="3"/>
    <s v="Branch-Downtown"/>
    <s v="Freelancer"/>
    <s v="2022-05-12"/>
    <n v="4.0999999999999996"/>
    <x v="1"/>
    <n v="3"/>
    <n v="81354.149999999994"/>
    <n v="16388.71"/>
    <n v="686"/>
    <x v="1"/>
    <x v="0"/>
    <n v="905005.5"/>
    <s v="Active"/>
    <s v="Both"/>
    <n v="253874.75"/>
    <n v="12"/>
    <n v="5092.54"/>
    <n v="72.3"/>
    <x v="0"/>
    <x v="1"/>
    <x v="0"/>
    <n v="357"/>
    <x v="0"/>
  </r>
  <r>
    <x v="422"/>
    <n v="41"/>
    <s v="Male"/>
    <s v="Single"/>
    <x v="0"/>
    <s v="Branch-Downtown"/>
    <s v="Student"/>
    <s v="2024-09-11"/>
    <n v="1.8"/>
    <x v="0"/>
    <n v="5"/>
    <n v="59716.97"/>
    <n v="73229.899999999994"/>
    <n v="692"/>
    <x v="1"/>
    <x v="0"/>
    <n v="441867.57"/>
    <s v="Active"/>
    <s v="Both"/>
    <n v="219616.12"/>
    <n v="32"/>
    <n v="9944.08"/>
    <n v="61.2"/>
    <x v="0"/>
    <x v="0"/>
    <x v="0"/>
    <n v="42"/>
    <x v="0"/>
  </r>
  <r>
    <x v="423"/>
    <n v="68"/>
    <s v="Male"/>
    <s v="Divorced"/>
    <x v="2"/>
    <s v="Branch-Hillcrest"/>
    <s v="Student"/>
    <s v="2024-12-04"/>
    <n v="1.6"/>
    <x v="1"/>
    <n v="5"/>
    <n v="49368.21"/>
    <n v="30118.33"/>
    <n v="625"/>
    <x v="0"/>
    <x v="1"/>
    <n v="0"/>
    <s v="N/A"/>
    <s v="Both"/>
    <n v="371242.91"/>
    <n v="44"/>
    <n v="9574.35"/>
    <n v="61.2"/>
    <x v="0"/>
    <x v="0"/>
    <x v="1"/>
    <n v="70"/>
    <x v="0"/>
  </r>
  <r>
    <x v="424"/>
    <n v="72"/>
    <s v="Female"/>
    <s v="Widowed"/>
    <x v="0"/>
    <s v="Branch-Greenfield"/>
    <s v="Self-Employed"/>
    <s v="2025-12-29"/>
    <n v="0.5"/>
    <x v="0"/>
    <n v="1"/>
    <n v="111307.27"/>
    <n v="22968.55"/>
    <n v="597"/>
    <x v="0"/>
    <x v="1"/>
    <n v="0"/>
    <s v="N/A"/>
    <s v="Debit Only"/>
    <n v="0"/>
    <n v="36"/>
    <n v="11863.68"/>
    <n v="75.5"/>
    <x v="2"/>
    <x v="1"/>
    <x v="4"/>
    <n v="243"/>
    <x v="1"/>
  </r>
  <r>
    <x v="425"/>
    <n v="49"/>
    <s v="Male"/>
    <s v="Widowed"/>
    <x v="2"/>
    <s v="Branch-Southpark"/>
    <s v="Self-Employed"/>
    <s v="2020-12-05"/>
    <n v="5.6"/>
    <x v="1"/>
    <n v="3"/>
    <n v="77405.72"/>
    <n v="60920.71"/>
    <n v="703"/>
    <x v="1"/>
    <x v="1"/>
    <n v="0"/>
    <s v="N/A"/>
    <s v="Debit Only"/>
    <n v="0"/>
    <n v="43"/>
    <n v="13302.44"/>
    <n v="96.6"/>
    <x v="2"/>
    <x v="4"/>
    <x v="2"/>
    <n v="145"/>
    <x v="0"/>
  </r>
  <r>
    <x v="426"/>
    <n v="28"/>
    <s v="Male"/>
    <s v="Widowed"/>
    <x v="3"/>
    <s v="Branch-Lakeview"/>
    <s v="Business Owner"/>
    <s v="2020-05-13"/>
    <n v="6.1"/>
    <x v="4"/>
    <n v="2"/>
    <n v="89242.11"/>
    <n v="62550.18"/>
    <n v="814"/>
    <x v="3"/>
    <x v="4"/>
    <n v="520633.25"/>
    <s v="Active"/>
    <s v="Credit Only"/>
    <n v="163405.4"/>
    <n v="21"/>
    <n v="1766.19"/>
    <n v="53.6"/>
    <x v="0"/>
    <x v="1"/>
    <x v="2"/>
    <n v="124"/>
    <x v="0"/>
  </r>
  <r>
    <x v="427"/>
    <n v="43"/>
    <s v="Female"/>
    <s v="Single"/>
    <x v="0"/>
    <s v="Branch-Greenfield"/>
    <s v="Salaried"/>
    <s v="2022-02-09"/>
    <n v="4.4000000000000004"/>
    <x v="4"/>
    <n v="1"/>
    <n v="83269.5"/>
    <n v="58309.37"/>
    <n v="736"/>
    <x v="1"/>
    <x v="2"/>
    <n v="1311723.54"/>
    <s v="Active"/>
    <s v="None"/>
    <n v="0"/>
    <n v="37"/>
    <n v="2636.67"/>
    <n v="61.7"/>
    <x v="2"/>
    <x v="0"/>
    <x v="3"/>
    <n v="13"/>
    <x v="0"/>
  </r>
  <r>
    <x v="428"/>
    <n v="68"/>
    <s v="Female"/>
    <s v="Divorced"/>
    <x v="4"/>
    <s v="Branch-Southpark"/>
    <s v="Student"/>
    <s v="2020-03-09"/>
    <n v="6.3"/>
    <x v="4"/>
    <n v="1"/>
    <n v="0"/>
    <n v="45401.67"/>
    <n v="700"/>
    <x v="1"/>
    <x v="1"/>
    <n v="0"/>
    <s v="N/A"/>
    <s v="Credit Only"/>
    <n v="248122.88"/>
    <n v="53"/>
    <n v="2216.12"/>
    <n v="55.8"/>
    <x v="0"/>
    <x v="2"/>
    <x v="1"/>
    <n v="37"/>
    <x v="0"/>
  </r>
  <r>
    <x v="429"/>
    <n v="58"/>
    <s v="Female"/>
    <s v="Married"/>
    <x v="4"/>
    <s v="Branch-Eastwood"/>
    <s v="Retired"/>
    <s v="2020-05-23"/>
    <n v="6.1"/>
    <x v="4"/>
    <n v="5"/>
    <n v="0"/>
    <n v="49976.84"/>
    <n v="668"/>
    <x v="0"/>
    <x v="1"/>
    <n v="0"/>
    <s v="N/A"/>
    <s v="Credit Only"/>
    <n v="66286.55"/>
    <n v="42"/>
    <n v="1506.9"/>
    <n v="14.9"/>
    <x v="0"/>
    <x v="0"/>
    <x v="0"/>
    <n v="59"/>
    <x v="0"/>
  </r>
  <r>
    <x v="430"/>
    <n v="52"/>
    <s v="Male"/>
    <s v="Widowed"/>
    <x v="3"/>
    <s v="Branch-Lakeview"/>
    <s v="Freelancer"/>
    <s v="2021-06-27"/>
    <n v="5"/>
    <x v="0"/>
    <n v="2"/>
    <n v="36391.18"/>
    <n v="69047.62"/>
    <n v="778"/>
    <x v="2"/>
    <x v="5"/>
    <n v="1139047.01"/>
    <s v="Active"/>
    <s v="Credit Only"/>
    <n v="254725.41"/>
    <n v="10"/>
    <n v="6916.85"/>
    <n v="63.4"/>
    <x v="4"/>
    <x v="0"/>
    <x v="0"/>
    <n v="144"/>
    <x v="1"/>
  </r>
  <r>
    <x v="431"/>
    <n v="39"/>
    <s v="Female"/>
    <s v="Single"/>
    <x v="1"/>
    <s v="Branch-Harborview"/>
    <s v="Freelancer"/>
    <s v="2022-12-05"/>
    <n v="3.6"/>
    <x v="4"/>
    <n v="3"/>
    <n v="61721.37"/>
    <n v="18799.419999999998"/>
    <n v="609"/>
    <x v="0"/>
    <x v="1"/>
    <n v="0"/>
    <s v="N/A"/>
    <s v="Debit Only"/>
    <n v="0"/>
    <n v="53"/>
    <n v="12174.61"/>
    <n v="24.4"/>
    <x v="0"/>
    <x v="0"/>
    <x v="2"/>
    <n v="276"/>
    <x v="0"/>
  </r>
  <r>
    <x v="432"/>
    <n v="33"/>
    <s v="Female"/>
    <s v="Divorced"/>
    <x v="3"/>
    <s v="Branch-Harborview"/>
    <s v="Student"/>
    <s v="2018-09-12"/>
    <n v="7.8"/>
    <x v="1"/>
    <n v="5"/>
    <n v="24745.21"/>
    <n v="76379.679999999993"/>
    <n v="545"/>
    <x v="4"/>
    <x v="1"/>
    <n v="0"/>
    <s v="N/A"/>
    <s v="Debit Only"/>
    <n v="0"/>
    <n v="9"/>
    <n v="6987.8"/>
    <n v="46.2"/>
    <x v="1"/>
    <x v="3"/>
    <x v="4"/>
    <n v="96"/>
    <x v="0"/>
  </r>
  <r>
    <x v="433"/>
    <n v="70"/>
    <s v="Female"/>
    <s v="Widowed"/>
    <x v="1"/>
    <s v="Branch-Downtown"/>
    <s v="Self-Employed"/>
    <s v="2019-03-08"/>
    <n v="7.3"/>
    <x v="2"/>
    <n v="1"/>
    <n v="31505.87"/>
    <n v="52763.31"/>
    <n v="578"/>
    <x v="4"/>
    <x v="5"/>
    <n v="752289.94"/>
    <s v="Closed"/>
    <s v="Debit Only"/>
    <n v="0"/>
    <n v="0"/>
    <n v="2974.59"/>
    <n v="37.9"/>
    <x v="0"/>
    <x v="4"/>
    <x v="1"/>
    <n v="289"/>
    <x v="0"/>
  </r>
  <r>
    <x v="434"/>
    <n v="35"/>
    <s v="Male"/>
    <s v="Widowed"/>
    <x v="4"/>
    <s v="Branch-Downtown"/>
    <s v="Student"/>
    <s v="2024-11-16"/>
    <n v="1.6"/>
    <x v="0"/>
    <n v="3"/>
    <n v="3027.58"/>
    <n v="27885.13"/>
    <n v="836"/>
    <x v="3"/>
    <x v="1"/>
    <n v="0"/>
    <s v="N/A"/>
    <s v="Both"/>
    <n v="258517.4"/>
    <n v="23"/>
    <n v="11336.27"/>
    <n v="42.7"/>
    <x v="0"/>
    <x v="2"/>
    <x v="1"/>
    <n v="333"/>
    <x v="0"/>
  </r>
  <r>
    <x v="435"/>
    <n v="56"/>
    <s v="Female"/>
    <s v="Single"/>
    <x v="4"/>
    <s v="Branch-Southpark"/>
    <s v="Retired"/>
    <s v="2019-01-08"/>
    <n v="7.5"/>
    <x v="0"/>
    <n v="3"/>
    <n v="65950.14"/>
    <n v="17101.84"/>
    <n v="654"/>
    <x v="0"/>
    <x v="1"/>
    <n v="0"/>
    <s v="N/A"/>
    <s v="None"/>
    <n v="0"/>
    <n v="7"/>
    <n v="13687.24"/>
    <n v="19.5"/>
    <x v="1"/>
    <x v="4"/>
    <x v="1"/>
    <n v="219"/>
    <x v="0"/>
  </r>
  <r>
    <x v="436"/>
    <n v="27"/>
    <s v="Male"/>
    <s v="Widowed"/>
    <x v="0"/>
    <s v="Branch-Southpark"/>
    <s v="Business Owner"/>
    <s v="2019-12-08"/>
    <n v="6.6"/>
    <x v="1"/>
    <n v="3"/>
    <n v="4961.76"/>
    <n v="45521.23"/>
    <n v="805"/>
    <x v="3"/>
    <x v="1"/>
    <n v="0"/>
    <s v="N/A"/>
    <s v="Debit Only"/>
    <n v="0"/>
    <n v="35"/>
    <n v="13293.81"/>
    <n v="49.3"/>
    <x v="4"/>
    <x v="3"/>
    <x v="1"/>
    <n v="265"/>
    <x v="1"/>
  </r>
  <r>
    <x v="437"/>
    <n v="18"/>
    <s v="Female"/>
    <s v="Single"/>
    <x v="0"/>
    <s v="Branch-Harborview"/>
    <s v="Student"/>
    <s v="2020-09-27"/>
    <n v="5.8"/>
    <x v="2"/>
    <n v="3"/>
    <n v="37030.53"/>
    <n v="94844.75"/>
    <n v="643"/>
    <x v="0"/>
    <x v="1"/>
    <n v="0"/>
    <s v="N/A"/>
    <s v="None"/>
    <n v="0"/>
    <n v="55"/>
    <n v="2851.12"/>
    <n v="39.799999999999997"/>
    <x v="0"/>
    <x v="1"/>
    <x v="1"/>
    <n v="264"/>
    <x v="0"/>
  </r>
  <r>
    <x v="438"/>
    <n v="66"/>
    <s v="Male"/>
    <s v="Divorced"/>
    <x v="2"/>
    <s v="Branch-Oakridge"/>
    <s v="Freelancer"/>
    <s v="2019-06-17"/>
    <n v="7"/>
    <x v="0"/>
    <n v="3"/>
    <n v="72258.59"/>
    <n v="36158.129999999997"/>
    <n v="534"/>
    <x v="4"/>
    <x v="1"/>
    <n v="0"/>
    <s v="N/A"/>
    <s v="Debit Only"/>
    <n v="0"/>
    <n v="3"/>
    <n v="4682.24"/>
    <n v="34.4"/>
    <x v="4"/>
    <x v="0"/>
    <x v="4"/>
    <n v="249"/>
    <x v="0"/>
  </r>
  <r>
    <x v="439"/>
    <n v="55"/>
    <s v="Male"/>
    <s v="Widowed"/>
    <x v="4"/>
    <s v="Branch-Riverside"/>
    <s v="Business Owner"/>
    <s v="2024-12-04"/>
    <n v="1.6"/>
    <x v="2"/>
    <n v="1"/>
    <n v="0"/>
    <n v="47226.65"/>
    <n v="510"/>
    <x v="4"/>
    <x v="1"/>
    <n v="0"/>
    <s v="N/A"/>
    <s v="Both"/>
    <n v="169151.49"/>
    <n v="40"/>
    <n v="5438.51"/>
    <n v="41.5"/>
    <x v="1"/>
    <x v="2"/>
    <x v="2"/>
    <n v="284"/>
    <x v="0"/>
  </r>
  <r>
    <x v="440"/>
    <n v="72"/>
    <s v="Female"/>
    <s v="Single"/>
    <x v="1"/>
    <s v="Branch-Harborview"/>
    <s v="Freelancer"/>
    <s v="2025-02-28"/>
    <n v="1.3"/>
    <x v="4"/>
    <n v="2"/>
    <n v="14938.75"/>
    <n v="16445.900000000001"/>
    <n v="697"/>
    <x v="1"/>
    <x v="4"/>
    <n v="2033102.98"/>
    <s v="Active"/>
    <s v="Both"/>
    <n v="84758.25"/>
    <n v="43"/>
    <n v="12778.32"/>
    <n v="93.8"/>
    <x v="0"/>
    <x v="4"/>
    <x v="4"/>
    <n v="80"/>
    <x v="0"/>
  </r>
  <r>
    <x v="441"/>
    <n v="25"/>
    <s v="Male"/>
    <s v="Divorced"/>
    <x v="2"/>
    <s v="Branch-Westfield"/>
    <s v="Self-Employed"/>
    <s v="2024-01-20"/>
    <n v="2.4"/>
    <x v="4"/>
    <n v="3"/>
    <n v="0"/>
    <n v="22212.81"/>
    <n v="618"/>
    <x v="0"/>
    <x v="2"/>
    <n v="96849.279999999999"/>
    <s v="Closed"/>
    <s v="Credit Only"/>
    <n v="86435.26"/>
    <n v="17"/>
    <n v="9696.67"/>
    <n v="57.9"/>
    <x v="0"/>
    <x v="1"/>
    <x v="1"/>
    <n v="362"/>
    <x v="1"/>
  </r>
  <r>
    <x v="442"/>
    <n v="57"/>
    <s v="Male"/>
    <s v="Divorced"/>
    <x v="1"/>
    <s v="Branch-Midtown"/>
    <s v="Business Owner"/>
    <s v="2026-03-18"/>
    <n v="0.3"/>
    <x v="1"/>
    <n v="3"/>
    <n v="95946.06"/>
    <n v="29651.17"/>
    <n v="615"/>
    <x v="0"/>
    <x v="5"/>
    <n v="415378"/>
    <s v="Closed"/>
    <s v="None"/>
    <n v="0"/>
    <n v="39"/>
    <n v="7600.06"/>
    <n v="55.3"/>
    <x v="0"/>
    <x v="0"/>
    <x v="4"/>
    <n v="359"/>
    <x v="0"/>
  </r>
  <r>
    <x v="443"/>
    <n v="64"/>
    <s v="Male"/>
    <s v="Divorced"/>
    <x v="3"/>
    <s v="Branch-Greenfield"/>
    <s v="Business Owner"/>
    <s v="2019-03-24"/>
    <n v="7.3"/>
    <x v="0"/>
    <n v="5"/>
    <n v="0"/>
    <n v="71285.75"/>
    <n v="603"/>
    <x v="0"/>
    <x v="2"/>
    <n v="499110.33"/>
    <s v="Defaulted"/>
    <s v="Credit Only"/>
    <n v="440985.62"/>
    <n v="42"/>
    <n v="4375.68"/>
    <n v="22.4"/>
    <x v="0"/>
    <x v="2"/>
    <x v="1"/>
    <n v="80"/>
    <x v="0"/>
  </r>
  <r>
    <x v="444"/>
    <n v="29"/>
    <s v="Male"/>
    <s v="Single"/>
    <x v="0"/>
    <s v="Branch-Eastwood"/>
    <s v="Self-Employed"/>
    <s v="2022-08-29"/>
    <n v="3.8"/>
    <x v="2"/>
    <n v="3"/>
    <n v="103443.3"/>
    <n v="28238.78"/>
    <n v="619"/>
    <x v="0"/>
    <x v="1"/>
    <n v="0"/>
    <s v="N/A"/>
    <s v="Credit Only"/>
    <n v="36523.360000000001"/>
    <n v="20"/>
    <n v="4441.32"/>
    <n v="74.2"/>
    <x v="2"/>
    <x v="3"/>
    <x v="4"/>
    <n v="354"/>
    <x v="0"/>
  </r>
  <r>
    <x v="445"/>
    <n v="71"/>
    <s v="Female"/>
    <s v="Married"/>
    <x v="4"/>
    <s v="Branch-Southpark"/>
    <s v="Freelancer"/>
    <s v="2023-09-29"/>
    <n v="2.8"/>
    <x v="2"/>
    <n v="5"/>
    <n v="97668.19"/>
    <n v="77208.25"/>
    <n v="565"/>
    <x v="4"/>
    <x v="3"/>
    <n v="1392977.51"/>
    <s v="Closed"/>
    <s v="None"/>
    <n v="0"/>
    <n v="46"/>
    <n v="4092.91"/>
    <n v="62.9"/>
    <x v="0"/>
    <x v="2"/>
    <x v="1"/>
    <n v="38"/>
    <x v="1"/>
  </r>
  <r>
    <x v="446"/>
    <n v="74"/>
    <s v="Male"/>
    <s v="Married"/>
    <x v="3"/>
    <s v="Branch-Lakeview"/>
    <s v="Business Owner"/>
    <s v="2019-08-15"/>
    <n v="6.9"/>
    <x v="1"/>
    <n v="3"/>
    <n v="40291.51"/>
    <n v="17379.29"/>
    <n v="654"/>
    <x v="0"/>
    <x v="4"/>
    <n v="386484.55"/>
    <s v="Closed"/>
    <s v="Both"/>
    <n v="229769.98"/>
    <n v="8"/>
    <n v="14465.06"/>
    <n v="13"/>
    <x v="0"/>
    <x v="4"/>
    <x v="1"/>
    <n v="310"/>
    <x v="0"/>
  </r>
  <r>
    <x v="447"/>
    <n v="74"/>
    <s v="Male"/>
    <s v="Single"/>
    <x v="3"/>
    <s v="Branch-Southpark"/>
    <s v="Retired"/>
    <s v="2025-07-07"/>
    <n v="1"/>
    <x v="1"/>
    <n v="1"/>
    <n v="11593.52"/>
    <n v="25744.84"/>
    <n v="597"/>
    <x v="0"/>
    <x v="5"/>
    <n v="2370978.87"/>
    <s v="Active"/>
    <s v="Debit Only"/>
    <n v="0"/>
    <n v="25"/>
    <n v="7906.29"/>
    <n v="32"/>
    <x v="1"/>
    <x v="1"/>
    <x v="0"/>
    <n v="98"/>
    <x v="0"/>
  </r>
  <r>
    <x v="448"/>
    <n v="51"/>
    <s v="Female"/>
    <s v="Divorced"/>
    <x v="2"/>
    <s v="Branch-Northgate"/>
    <s v="Student"/>
    <s v="2020-09-12"/>
    <n v="5.8"/>
    <x v="1"/>
    <n v="4"/>
    <n v="39284.85"/>
    <n v="34145.49"/>
    <n v="667"/>
    <x v="0"/>
    <x v="1"/>
    <n v="0"/>
    <s v="N/A"/>
    <s v="Both"/>
    <n v="31469.47"/>
    <n v="43"/>
    <n v="14550.43"/>
    <n v="98.8"/>
    <x v="4"/>
    <x v="1"/>
    <x v="1"/>
    <n v="277"/>
    <x v="1"/>
  </r>
  <r>
    <x v="449"/>
    <n v="26"/>
    <s v="Male"/>
    <s v="Divorced"/>
    <x v="1"/>
    <s v="Branch-Greenfield"/>
    <s v="Student"/>
    <s v="2021-08-06"/>
    <n v="4.9000000000000004"/>
    <x v="1"/>
    <n v="4"/>
    <n v="30026.06"/>
    <n v="8000"/>
    <n v="539"/>
    <x v="4"/>
    <x v="1"/>
    <n v="0"/>
    <s v="N/A"/>
    <s v="None"/>
    <n v="0"/>
    <n v="31"/>
    <n v="14289.27"/>
    <n v="21.6"/>
    <x v="0"/>
    <x v="1"/>
    <x v="1"/>
    <n v="103"/>
    <x v="0"/>
  </r>
  <r>
    <x v="450"/>
    <n v="42"/>
    <s v="Male"/>
    <s v="Divorced"/>
    <x v="0"/>
    <s v="Branch-Riverside"/>
    <s v="Student"/>
    <s v="2019-07-05"/>
    <n v="7"/>
    <x v="1"/>
    <n v="2"/>
    <n v="44389.29"/>
    <n v="37298.78"/>
    <n v="832"/>
    <x v="3"/>
    <x v="1"/>
    <n v="0"/>
    <s v="N/A"/>
    <s v="Debit Only"/>
    <n v="0"/>
    <n v="46"/>
    <n v="7341.25"/>
    <n v="63"/>
    <x v="4"/>
    <x v="1"/>
    <x v="0"/>
    <n v="303"/>
    <x v="0"/>
  </r>
  <r>
    <x v="451"/>
    <n v="18"/>
    <s v="Male"/>
    <s v="Divorced"/>
    <x v="4"/>
    <s v="Branch-Midtown"/>
    <s v="Self-Employed"/>
    <s v="2021-04-18"/>
    <n v="5.2"/>
    <x v="0"/>
    <n v="5"/>
    <n v="0"/>
    <n v="57489.99"/>
    <n v="816"/>
    <x v="3"/>
    <x v="0"/>
    <n v="1838673.85"/>
    <s v="Active"/>
    <s v="Debit Only"/>
    <n v="0"/>
    <n v="13"/>
    <n v="11255.46"/>
    <n v="34.299999999999997"/>
    <x v="0"/>
    <x v="3"/>
    <x v="4"/>
    <n v="300"/>
    <x v="0"/>
  </r>
  <r>
    <x v="452"/>
    <n v="63"/>
    <s v="Female"/>
    <s v="Married"/>
    <x v="0"/>
    <s v="Branch-Oakridge"/>
    <s v="Self-Employed"/>
    <s v="2024-10-26"/>
    <n v="1.7"/>
    <x v="1"/>
    <n v="3"/>
    <n v="5848.23"/>
    <n v="54678.79"/>
    <n v="655"/>
    <x v="0"/>
    <x v="3"/>
    <n v="365244.52"/>
    <s v="Closed"/>
    <s v="None"/>
    <n v="0"/>
    <n v="4"/>
    <n v="12574.82"/>
    <n v="64.5"/>
    <x v="2"/>
    <x v="4"/>
    <x v="3"/>
    <n v="77"/>
    <x v="0"/>
  </r>
  <r>
    <x v="453"/>
    <n v="52"/>
    <s v="Male"/>
    <s v="Married"/>
    <x v="0"/>
    <s v="Branch-Harborview"/>
    <s v="Student"/>
    <s v="2021-10-22"/>
    <n v="4.7"/>
    <x v="3"/>
    <n v="5"/>
    <n v="37526.68"/>
    <n v="10198.25"/>
    <n v="690"/>
    <x v="1"/>
    <x v="5"/>
    <n v="1485273.07"/>
    <s v="Closed"/>
    <s v="None"/>
    <n v="0"/>
    <n v="43"/>
    <n v="12409.6"/>
    <n v="81.400000000000006"/>
    <x v="1"/>
    <x v="4"/>
    <x v="4"/>
    <n v="372"/>
    <x v="0"/>
  </r>
  <r>
    <x v="454"/>
    <n v="74"/>
    <s v="Male"/>
    <s v="Married"/>
    <x v="4"/>
    <s v="Branch-Lakeview"/>
    <s v="Salaried"/>
    <s v="2019-01-10"/>
    <n v="7.5"/>
    <x v="1"/>
    <n v="2"/>
    <n v="149635.41"/>
    <n v="34329.42"/>
    <n v="480"/>
    <x v="4"/>
    <x v="5"/>
    <n v="60778.68"/>
    <s v="Closed"/>
    <s v="Debit Only"/>
    <n v="0"/>
    <n v="44"/>
    <n v="9133.58"/>
    <n v="41.1"/>
    <x v="0"/>
    <x v="4"/>
    <x v="4"/>
    <n v="201"/>
    <x v="0"/>
  </r>
  <r>
    <x v="455"/>
    <n v="42"/>
    <s v="Female"/>
    <s v="Single"/>
    <x v="0"/>
    <s v="Branch-Eastwood"/>
    <s v="Salaried"/>
    <s v="2025-08-06"/>
    <n v="0.9"/>
    <x v="3"/>
    <n v="4"/>
    <n v="19128.330000000002"/>
    <n v="16321.54"/>
    <n v="493"/>
    <x v="4"/>
    <x v="2"/>
    <n v="448333.57"/>
    <s v="Defaulted"/>
    <s v="Both"/>
    <n v="68461.210000000006"/>
    <n v="4"/>
    <n v="2670.19"/>
    <n v="25.3"/>
    <x v="1"/>
    <x v="4"/>
    <x v="2"/>
    <n v="8"/>
    <x v="0"/>
  </r>
  <r>
    <x v="456"/>
    <n v="39"/>
    <s v="Female"/>
    <s v="Single"/>
    <x v="3"/>
    <s v="Branch-Riverside"/>
    <s v="Business Owner"/>
    <s v="2025-03-15"/>
    <n v="1.3"/>
    <x v="4"/>
    <n v="3"/>
    <n v="211040.76"/>
    <n v="36503.019999999997"/>
    <n v="725"/>
    <x v="1"/>
    <x v="1"/>
    <n v="0"/>
    <s v="N/A"/>
    <s v="Both"/>
    <n v="363329.85"/>
    <n v="24"/>
    <n v="8487.91"/>
    <n v="43.6"/>
    <x v="0"/>
    <x v="3"/>
    <x v="0"/>
    <n v="94"/>
    <x v="0"/>
  </r>
  <r>
    <x v="457"/>
    <n v="40"/>
    <s v="Male"/>
    <s v="Widowed"/>
    <x v="4"/>
    <s v="Branch-Lakeview"/>
    <s v="Retired"/>
    <s v="2021-10-12"/>
    <n v="4.7"/>
    <x v="0"/>
    <n v="4"/>
    <n v="140228.24"/>
    <n v="70030.36"/>
    <n v="723"/>
    <x v="1"/>
    <x v="1"/>
    <n v="0"/>
    <s v="N/A"/>
    <s v="None"/>
    <n v="0"/>
    <n v="10"/>
    <n v="6911.07"/>
    <n v="44"/>
    <x v="4"/>
    <x v="4"/>
    <x v="1"/>
    <n v="19"/>
    <x v="0"/>
  </r>
  <r>
    <x v="458"/>
    <n v="35"/>
    <s v="Female"/>
    <s v="Single"/>
    <x v="3"/>
    <s v="Branch-Midtown"/>
    <s v="Retired"/>
    <s v="2026-03-29"/>
    <n v="0.3"/>
    <x v="4"/>
    <n v="4"/>
    <n v="114213.82"/>
    <n v="44161.36"/>
    <n v="667"/>
    <x v="0"/>
    <x v="2"/>
    <n v="2278273.98"/>
    <s v="Closed"/>
    <s v="None"/>
    <n v="0"/>
    <n v="46"/>
    <n v="14837.12"/>
    <n v="80.7"/>
    <x v="4"/>
    <x v="1"/>
    <x v="1"/>
    <n v="263"/>
    <x v="0"/>
  </r>
  <r>
    <x v="459"/>
    <n v="35"/>
    <s v="Male"/>
    <s v="Divorced"/>
    <x v="1"/>
    <s v="Branch-Southpark"/>
    <s v="Self-Employed"/>
    <s v="2024-06-27"/>
    <n v="2"/>
    <x v="3"/>
    <n v="4"/>
    <n v="68066.73"/>
    <n v="41246.449999999997"/>
    <n v="706"/>
    <x v="1"/>
    <x v="0"/>
    <n v="1019191.55"/>
    <s v="Defaulted"/>
    <s v="Credit Only"/>
    <n v="97514.19"/>
    <n v="25"/>
    <n v="9512.8799999999992"/>
    <n v="46.8"/>
    <x v="1"/>
    <x v="0"/>
    <x v="0"/>
    <n v="133"/>
    <x v="0"/>
  </r>
  <r>
    <x v="460"/>
    <n v="39"/>
    <s v="Male"/>
    <s v="Divorced"/>
    <x v="4"/>
    <s v="Branch-Northgate"/>
    <s v="Self-Employed"/>
    <s v="2021-02-22"/>
    <n v="5.4"/>
    <x v="1"/>
    <n v="3"/>
    <n v="53855.72"/>
    <n v="38515.89"/>
    <n v="638"/>
    <x v="0"/>
    <x v="1"/>
    <n v="0"/>
    <s v="N/A"/>
    <s v="Both"/>
    <n v="117123.76"/>
    <n v="38"/>
    <n v="12188.45"/>
    <n v="93.6"/>
    <x v="0"/>
    <x v="4"/>
    <x v="0"/>
    <n v="276"/>
    <x v="0"/>
  </r>
  <r>
    <x v="461"/>
    <n v="39"/>
    <s v="Female"/>
    <s v="Divorced"/>
    <x v="1"/>
    <s v="Branch-Hillcrest"/>
    <s v="Freelancer"/>
    <s v="2025-10-02"/>
    <n v="0.7"/>
    <x v="1"/>
    <n v="5"/>
    <n v="63380.54"/>
    <n v="70375.09"/>
    <n v="784"/>
    <x v="2"/>
    <x v="1"/>
    <n v="0"/>
    <s v="N/A"/>
    <s v="Debit Only"/>
    <n v="0"/>
    <n v="53"/>
    <n v="9099.26"/>
    <n v="45.3"/>
    <x v="0"/>
    <x v="4"/>
    <x v="1"/>
    <n v="388"/>
    <x v="0"/>
  </r>
  <r>
    <x v="462"/>
    <n v="42"/>
    <s v="Male"/>
    <s v="Widowed"/>
    <x v="2"/>
    <s v="Branch-Downtown"/>
    <s v="Freelancer"/>
    <s v="2021-07-04"/>
    <n v="5"/>
    <x v="4"/>
    <n v="3"/>
    <n v="0"/>
    <n v="43757.279999999999"/>
    <n v="708"/>
    <x v="1"/>
    <x v="3"/>
    <n v="1992636.2"/>
    <s v="Active"/>
    <s v="Both"/>
    <n v="80989.509999999995"/>
    <n v="10"/>
    <n v="6426.91"/>
    <n v="84.6"/>
    <x v="4"/>
    <x v="4"/>
    <x v="1"/>
    <n v="129"/>
    <x v="1"/>
  </r>
  <r>
    <x v="463"/>
    <n v="27"/>
    <s v="Female"/>
    <s v="Divorced"/>
    <x v="1"/>
    <s v="Branch-Eastwood"/>
    <s v="Freelancer"/>
    <s v="2026-05-14"/>
    <n v="0.1"/>
    <x v="3"/>
    <n v="5"/>
    <n v="157999.31"/>
    <n v="61908.97"/>
    <n v="633"/>
    <x v="0"/>
    <x v="4"/>
    <n v="737224.78"/>
    <s v="Closed"/>
    <s v="None"/>
    <n v="0"/>
    <n v="60"/>
    <n v="10674.1"/>
    <n v="3.7"/>
    <x v="0"/>
    <x v="4"/>
    <x v="4"/>
    <n v="208"/>
    <x v="0"/>
  </r>
  <r>
    <x v="464"/>
    <n v="52"/>
    <s v="Male"/>
    <s v="Divorced"/>
    <x v="2"/>
    <s v="Branch-Harborview"/>
    <s v="Freelancer"/>
    <s v="2019-12-05"/>
    <n v="6.6"/>
    <x v="1"/>
    <n v="1"/>
    <n v="13008.19"/>
    <n v="41132.300000000003"/>
    <n v="630"/>
    <x v="0"/>
    <x v="0"/>
    <n v="2477491.31"/>
    <s v="Active"/>
    <s v="Both"/>
    <n v="486666.34"/>
    <n v="24"/>
    <n v="14064.13"/>
    <n v="31"/>
    <x v="0"/>
    <x v="3"/>
    <x v="1"/>
    <n v="340"/>
    <x v="0"/>
  </r>
  <r>
    <x v="465"/>
    <n v="71"/>
    <s v="Female"/>
    <s v="Married"/>
    <x v="0"/>
    <s v="Branch-Southpark"/>
    <s v="Student"/>
    <s v="2021-06-24"/>
    <n v="5"/>
    <x v="0"/>
    <n v="3"/>
    <n v="0"/>
    <n v="16433.740000000002"/>
    <n v="807"/>
    <x v="3"/>
    <x v="1"/>
    <n v="0"/>
    <s v="N/A"/>
    <s v="Credit Only"/>
    <n v="362392.12"/>
    <n v="27"/>
    <n v="2976.19"/>
    <n v="27.1"/>
    <x v="4"/>
    <x v="4"/>
    <x v="2"/>
    <n v="332"/>
    <x v="0"/>
  </r>
  <r>
    <x v="466"/>
    <n v="47"/>
    <s v="Male"/>
    <s v="Married"/>
    <x v="3"/>
    <s v="Branch-Greenfield"/>
    <s v="Student"/>
    <s v="2026-02-13"/>
    <n v="0.4"/>
    <x v="1"/>
    <n v="2"/>
    <n v="62897.62"/>
    <n v="50418.1"/>
    <n v="671"/>
    <x v="1"/>
    <x v="4"/>
    <n v="1874637.75"/>
    <s v="Active"/>
    <s v="Credit Only"/>
    <n v="311902.51"/>
    <n v="60"/>
    <n v="13338.93"/>
    <n v="59.2"/>
    <x v="1"/>
    <x v="4"/>
    <x v="1"/>
    <n v="374"/>
    <x v="0"/>
  </r>
  <r>
    <x v="467"/>
    <n v="65"/>
    <s v="Male"/>
    <s v="Widowed"/>
    <x v="3"/>
    <s v="Branch-Lakeview"/>
    <s v="Retired"/>
    <s v="2019-01-21"/>
    <n v="7.4"/>
    <x v="0"/>
    <n v="4"/>
    <n v="104109.32"/>
    <n v="31049.67"/>
    <n v="679"/>
    <x v="1"/>
    <x v="1"/>
    <n v="0"/>
    <s v="N/A"/>
    <s v="None"/>
    <n v="0"/>
    <n v="49"/>
    <n v="2345.94"/>
    <n v="90.7"/>
    <x v="0"/>
    <x v="4"/>
    <x v="4"/>
    <n v="297"/>
    <x v="0"/>
  </r>
  <r>
    <x v="468"/>
    <n v="48"/>
    <s v="Female"/>
    <s v="Married"/>
    <x v="2"/>
    <s v="Branch-Riverside"/>
    <s v="Freelancer"/>
    <s v="2021-01-11"/>
    <n v="5.5"/>
    <x v="1"/>
    <n v="3"/>
    <n v="0"/>
    <n v="52202.12"/>
    <n v="585"/>
    <x v="0"/>
    <x v="1"/>
    <n v="0"/>
    <s v="N/A"/>
    <s v="None"/>
    <n v="0"/>
    <n v="31"/>
    <n v="2859.4"/>
    <n v="25.7"/>
    <x v="0"/>
    <x v="3"/>
    <x v="4"/>
    <n v="365"/>
    <x v="0"/>
  </r>
  <r>
    <x v="469"/>
    <n v="46"/>
    <s v="Female"/>
    <s v="Divorced"/>
    <x v="0"/>
    <s v="Branch-Lakeview"/>
    <s v="Salaried"/>
    <s v="2025-11-23"/>
    <n v="0.6"/>
    <x v="1"/>
    <n v="5"/>
    <n v="358.47"/>
    <n v="30448.34"/>
    <n v="757"/>
    <x v="2"/>
    <x v="3"/>
    <n v="1620396.2"/>
    <s v="Active"/>
    <s v="Credit Only"/>
    <n v="276849.38"/>
    <n v="34"/>
    <n v="5452.05"/>
    <n v="63.6"/>
    <x v="0"/>
    <x v="1"/>
    <x v="2"/>
    <n v="243"/>
    <x v="0"/>
  </r>
  <r>
    <x v="470"/>
    <n v="32"/>
    <s v="Male"/>
    <s v="Widowed"/>
    <x v="2"/>
    <s v="Branch-Riverside"/>
    <s v="Business Owner"/>
    <s v="2022-02-16"/>
    <n v="4.4000000000000004"/>
    <x v="4"/>
    <n v="4"/>
    <n v="29666.2"/>
    <n v="43642.71"/>
    <n v="368"/>
    <x v="4"/>
    <x v="5"/>
    <n v="471003.37"/>
    <s v="Active"/>
    <s v="Credit Only"/>
    <n v="274595.25"/>
    <n v="12"/>
    <n v="11694.74"/>
    <n v="89.2"/>
    <x v="1"/>
    <x v="3"/>
    <x v="0"/>
    <n v="164"/>
    <x v="0"/>
  </r>
  <r>
    <x v="471"/>
    <n v="73"/>
    <s v="Female"/>
    <s v="Single"/>
    <x v="4"/>
    <s v="Branch-Eastwood"/>
    <s v="Retired"/>
    <s v="2025-06-22"/>
    <n v="1"/>
    <x v="1"/>
    <n v="3"/>
    <n v="0"/>
    <n v="48933.69"/>
    <n v="678"/>
    <x v="1"/>
    <x v="1"/>
    <n v="0"/>
    <s v="N/A"/>
    <s v="Credit Only"/>
    <n v="443886.97"/>
    <n v="7"/>
    <n v="13245.48"/>
    <n v="30.1"/>
    <x v="0"/>
    <x v="4"/>
    <x v="3"/>
    <n v="168"/>
    <x v="0"/>
  </r>
  <r>
    <x v="472"/>
    <n v="45"/>
    <s v="Male"/>
    <s v="Divorced"/>
    <x v="0"/>
    <s v="Branch-Oakridge"/>
    <s v="Self-Employed"/>
    <s v="2023-04-21"/>
    <n v="3.2"/>
    <x v="1"/>
    <n v="5"/>
    <n v="115273.08"/>
    <n v="57198.29"/>
    <n v="639"/>
    <x v="0"/>
    <x v="0"/>
    <n v="1574321.97"/>
    <s v="Active"/>
    <s v="None"/>
    <n v="0"/>
    <n v="60"/>
    <n v="9151.48"/>
    <n v="20.9"/>
    <x v="0"/>
    <x v="4"/>
    <x v="4"/>
    <n v="292"/>
    <x v="0"/>
  </r>
  <r>
    <x v="473"/>
    <n v="43"/>
    <s v="Male"/>
    <s v="Single"/>
    <x v="2"/>
    <s v="Branch-Riverside"/>
    <s v="Business Owner"/>
    <s v="2022-01-29"/>
    <n v="4.4000000000000004"/>
    <x v="4"/>
    <n v="2"/>
    <n v="87327.56"/>
    <n v="23154.42"/>
    <n v="635"/>
    <x v="0"/>
    <x v="2"/>
    <n v="884245.14"/>
    <s v="Closed"/>
    <s v="Both"/>
    <n v="372805.95"/>
    <n v="13"/>
    <n v="6887.36"/>
    <n v="36.700000000000003"/>
    <x v="0"/>
    <x v="4"/>
    <x v="1"/>
    <n v="105"/>
    <x v="0"/>
  </r>
  <r>
    <x v="474"/>
    <n v="27"/>
    <s v="Male"/>
    <s v="Divorced"/>
    <x v="4"/>
    <s v="Branch-Midtown"/>
    <s v="Business Owner"/>
    <s v="2025-10-18"/>
    <n v="0.7"/>
    <x v="0"/>
    <n v="2"/>
    <n v="43756.87"/>
    <n v="62464.160000000003"/>
    <n v="828"/>
    <x v="3"/>
    <x v="2"/>
    <n v="433920.55"/>
    <s v="Active"/>
    <s v="None"/>
    <n v="0"/>
    <n v="44"/>
    <n v="2243.87"/>
    <n v="5.4"/>
    <x v="0"/>
    <x v="1"/>
    <x v="4"/>
    <n v="64"/>
    <x v="1"/>
  </r>
  <r>
    <x v="475"/>
    <n v="64"/>
    <s v="Male"/>
    <s v="Divorced"/>
    <x v="1"/>
    <s v="Branch-Southpark"/>
    <s v="Self-Employed"/>
    <s v="2021-07-21"/>
    <n v="4.9000000000000004"/>
    <x v="1"/>
    <n v="4"/>
    <n v="39233.46"/>
    <n v="56304.18"/>
    <n v="766"/>
    <x v="2"/>
    <x v="4"/>
    <n v="2381729.84"/>
    <s v="Closed"/>
    <s v="None"/>
    <n v="0"/>
    <n v="32"/>
    <n v="11727.09"/>
    <n v="90.8"/>
    <x v="0"/>
    <x v="0"/>
    <x v="3"/>
    <n v="100"/>
    <x v="0"/>
  </r>
  <r>
    <x v="476"/>
    <n v="53"/>
    <s v="Male"/>
    <s v="Single"/>
    <x v="4"/>
    <s v="Branch-Southpark"/>
    <s v="Freelancer"/>
    <s v="2018-07-16"/>
    <n v="8"/>
    <x v="1"/>
    <n v="1"/>
    <n v="84217.39"/>
    <n v="30794.7"/>
    <n v="738"/>
    <x v="1"/>
    <x v="3"/>
    <n v="170060.56"/>
    <s v="Defaulted"/>
    <s v="None"/>
    <n v="0"/>
    <n v="33"/>
    <n v="5331.12"/>
    <n v="25.6"/>
    <x v="0"/>
    <x v="4"/>
    <x v="2"/>
    <n v="251"/>
    <x v="0"/>
  </r>
  <r>
    <x v="477"/>
    <n v="32"/>
    <s v="Male"/>
    <s v="Married"/>
    <x v="3"/>
    <s v="Branch-Lakeview"/>
    <s v="Business Owner"/>
    <s v="2021-09-07"/>
    <n v="4.8"/>
    <x v="3"/>
    <n v="3"/>
    <n v="113899.96"/>
    <n v="8000"/>
    <n v="621"/>
    <x v="0"/>
    <x v="0"/>
    <n v="1633550.56"/>
    <s v="Active"/>
    <s v="Credit Only"/>
    <n v="357101.88"/>
    <n v="54"/>
    <n v="13648.78"/>
    <n v="98.1"/>
    <x v="0"/>
    <x v="3"/>
    <x v="4"/>
    <n v="166"/>
    <x v="0"/>
  </r>
  <r>
    <x v="478"/>
    <n v="22"/>
    <s v="Female"/>
    <s v="Divorced"/>
    <x v="0"/>
    <s v="Branch-Lakeview"/>
    <s v="Salaried"/>
    <s v="2020-01-29"/>
    <n v="6.4"/>
    <x v="1"/>
    <n v="2"/>
    <n v="85304.46"/>
    <n v="37330.97"/>
    <n v="654"/>
    <x v="0"/>
    <x v="1"/>
    <n v="0"/>
    <s v="N/A"/>
    <s v="Debit Only"/>
    <n v="0"/>
    <n v="27"/>
    <n v="12768.54"/>
    <n v="69.3"/>
    <x v="2"/>
    <x v="4"/>
    <x v="0"/>
    <n v="32"/>
    <x v="0"/>
  </r>
  <r>
    <x v="479"/>
    <n v="27"/>
    <s v="Female"/>
    <s v="Married"/>
    <x v="0"/>
    <s v="Branch-Downtown"/>
    <s v="Student"/>
    <s v="2021-10-16"/>
    <n v="4.7"/>
    <x v="0"/>
    <n v="5"/>
    <n v="64271.51"/>
    <n v="56680.93"/>
    <n v="699"/>
    <x v="1"/>
    <x v="2"/>
    <n v="1963926.82"/>
    <s v="Active"/>
    <s v="Both"/>
    <n v="339182.37"/>
    <n v="27"/>
    <n v="12376.94"/>
    <n v="8.5"/>
    <x v="0"/>
    <x v="4"/>
    <x v="1"/>
    <n v="5"/>
    <x v="0"/>
  </r>
  <r>
    <x v="480"/>
    <n v="65"/>
    <s v="Female"/>
    <s v="Divorced"/>
    <x v="1"/>
    <s v="Branch-Lakeview"/>
    <s v="Self-Employed"/>
    <s v="2018-05-26"/>
    <n v="8.1"/>
    <x v="0"/>
    <n v="4"/>
    <n v="0"/>
    <n v="28693.52"/>
    <n v="758"/>
    <x v="2"/>
    <x v="4"/>
    <n v="755137.28"/>
    <s v="Active"/>
    <s v="Debit Only"/>
    <n v="0"/>
    <n v="22"/>
    <n v="13309.78"/>
    <n v="59.4"/>
    <x v="0"/>
    <x v="2"/>
    <x v="3"/>
    <n v="327"/>
    <x v="0"/>
  </r>
  <r>
    <x v="481"/>
    <n v="60"/>
    <s v="Male"/>
    <s v="Widowed"/>
    <x v="4"/>
    <s v="Branch-Greenfield"/>
    <s v="Student"/>
    <s v="2023-08-24"/>
    <n v="2.9"/>
    <x v="0"/>
    <n v="4"/>
    <n v="4865.63"/>
    <n v="30925.68"/>
    <n v="600"/>
    <x v="0"/>
    <x v="1"/>
    <n v="0"/>
    <s v="N/A"/>
    <s v="Debit Only"/>
    <n v="0"/>
    <n v="27"/>
    <n v="2218.14"/>
    <n v="68.599999999999994"/>
    <x v="0"/>
    <x v="1"/>
    <x v="1"/>
    <n v="130"/>
    <x v="0"/>
  </r>
  <r>
    <x v="482"/>
    <n v="39"/>
    <s v="Male"/>
    <s v="Widowed"/>
    <x v="2"/>
    <s v="Branch-Northgate"/>
    <s v="Self-Employed"/>
    <s v="2020-06-15"/>
    <n v="6"/>
    <x v="3"/>
    <n v="4"/>
    <n v="94416.95"/>
    <n v="51690.71"/>
    <n v="582"/>
    <x v="0"/>
    <x v="0"/>
    <n v="847433.68"/>
    <s v="Defaulted"/>
    <s v="Both"/>
    <n v="115147.24"/>
    <n v="24"/>
    <n v="6213.93"/>
    <n v="29.6"/>
    <x v="2"/>
    <x v="4"/>
    <x v="1"/>
    <n v="36"/>
    <x v="0"/>
  </r>
  <r>
    <x v="483"/>
    <n v="56"/>
    <s v="Male"/>
    <s v="Divorced"/>
    <x v="3"/>
    <s v="Branch-Southpark"/>
    <s v="Self-Employed"/>
    <s v="2018-05-08"/>
    <n v="8.1999999999999993"/>
    <x v="1"/>
    <n v="2"/>
    <n v="67910.23"/>
    <n v="48313.83"/>
    <n v="690"/>
    <x v="1"/>
    <x v="1"/>
    <n v="0"/>
    <s v="N/A"/>
    <s v="Debit Only"/>
    <n v="0"/>
    <n v="34"/>
    <n v="13276.1"/>
    <n v="5.8"/>
    <x v="4"/>
    <x v="4"/>
    <x v="1"/>
    <n v="50"/>
    <x v="0"/>
  </r>
  <r>
    <x v="484"/>
    <n v="68"/>
    <s v="Female"/>
    <s v="Divorced"/>
    <x v="0"/>
    <s v="Branch-Hillcrest"/>
    <s v="Freelancer"/>
    <s v="2025-10-26"/>
    <n v="0.7"/>
    <x v="0"/>
    <n v="5"/>
    <n v="81623.94"/>
    <n v="50972.63"/>
    <n v="806"/>
    <x v="3"/>
    <x v="5"/>
    <n v="1613743.15"/>
    <s v="Closed"/>
    <s v="Debit Only"/>
    <n v="0"/>
    <n v="43"/>
    <n v="9397.4"/>
    <n v="2.1"/>
    <x v="0"/>
    <x v="4"/>
    <x v="0"/>
    <n v="14"/>
    <x v="0"/>
  </r>
  <r>
    <x v="485"/>
    <n v="22"/>
    <s v="Female"/>
    <s v="Married"/>
    <x v="4"/>
    <s v="Branch-Hillcrest"/>
    <s v="Self-Employed"/>
    <s v="2019-08-30"/>
    <n v="6.8"/>
    <x v="3"/>
    <n v="4"/>
    <n v="71075.42"/>
    <n v="50996.47"/>
    <n v="735"/>
    <x v="1"/>
    <x v="5"/>
    <n v="697218.85"/>
    <s v="Active"/>
    <s v="Both"/>
    <n v="24253.69"/>
    <n v="7"/>
    <n v="14318.31"/>
    <n v="77.5"/>
    <x v="1"/>
    <x v="0"/>
    <x v="4"/>
    <n v="166"/>
    <x v="0"/>
  </r>
  <r>
    <x v="486"/>
    <n v="40"/>
    <s v="Female"/>
    <s v="Single"/>
    <x v="4"/>
    <s v="Branch-Oakridge"/>
    <s v="Self-Employed"/>
    <s v="2021-01-20"/>
    <n v="5.4"/>
    <x v="0"/>
    <n v="2"/>
    <n v="159612.88"/>
    <n v="45340.98"/>
    <n v="643"/>
    <x v="0"/>
    <x v="0"/>
    <n v="1450529.87"/>
    <s v="Active"/>
    <s v="Both"/>
    <n v="356300.69"/>
    <n v="56"/>
    <n v="7739.02"/>
    <n v="72.599999999999994"/>
    <x v="0"/>
    <x v="3"/>
    <x v="0"/>
    <n v="217"/>
    <x v="0"/>
  </r>
  <r>
    <x v="487"/>
    <n v="62"/>
    <s v="Female"/>
    <s v="Single"/>
    <x v="4"/>
    <s v="Branch-Northgate"/>
    <s v="Student"/>
    <s v="2022-06-16"/>
    <n v="4"/>
    <x v="2"/>
    <n v="4"/>
    <n v="137556.06"/>
    <n v="54676.83"/>
    <n v="655"/>
    <x v="0"/>
    <x v="4"/>
    <n v="113030.15"/>
    <s v="Active"/>
    <s v="Debit Only"/>
    <n v="0"/>
    <n v="9"/>
    <n v="6909.18"/>
    <n v="7"/>
    <x v="0"/>
    <x v="1"/>
    <x v="0"/>
    <n v="68"/>
    <x v="0"/>
  </r>
  <r>
    <x v="488"/>
    <n v="61"/>
    <s v="Female"/>
    <s v="Divorced"/>
    <x v="3"/>
    <s v="Branch-Riverside"/>
    <s v="Student"/>
    <s v="2019-12-11"/>
    <n v="6.6"/>
    <x v="4"/>
    <n v="1"/>
    <n v="87563.4"/>
    <n v="48850.43"/>
    <n v="773"/>
    <x v="2"/>
    <x v="1"/>
    <n v="0"/>
    <s v="N/A"/>
    <s v="Credit Only"/>
    <n v="91253.83"/>
    <n v="3"/>
    <n v="7944.13"/>
    <n v="4.5"/>
    <x v="0"/>
    <x v="3"/>
    <x v="4"/>
    <n v="98"/>
    <x v="0"/>
  </r>
  <r>
    <x v="489"/>
    <n v="68"/>
    <s v="Female"/>
    <s v="Single"/>
    <x v="0"/>
    <s v="Branch-Lakeview"/>
    <s v="Salaried"/>
    <s v="2023-11-06"/>
    <n v="2.6"/>
    <x v="1"/>
    <n v="2"/>
    <n v="24706.959999999999"/>
    <n v="28149.84"/>
    <n v="558"/>
    <x v="4"/>
    <x v="1"/>
    <n v="0"/>
    <s v="N/A"/>
    <s v="None"/>
    <n v="0"/>
    <n v="24"/>
    <n v="14047.5"/>
    <n v="15.1"/>
    <x v="0"/>
    <x v="4"/>
    <x v="1"/>
    <n v="100"/>
    <x v="0"/>
  </r>
  <r>
    <x v="490"/>
    <n v="20"/>
    <s v="Male"/>
    <s v="Single"/>
    <x v="0"/>
    <s v="Branch-Hillcrest"/>
    <s v="Salaried"/>
    <s v="2019-05-27"/>
    <n v="7.1"/>
    <x v="4"/>
    <n v="5"/>
    <n v="95138.14"/>
    <n v="20966.28"/>
    <n v="654"/>
    <x v="0"/>
    <x v="1"/>
    <n v="0"/>
    <s v="N/A"/>
    <s v="Credit Only"/>
    <n v="66323.59"/>
    <n v="14"/>
    <n v="13985.56"/>
    <n v="11.6"/>
    <x v="0"/>
    <x v="2"/>
    <x v="2"/>
    <n v="225"/>
    <x v="0"/>
  </r>
  <r>
    <x v="491"/>
    <n v="32"/>
    <s v="Female"/>
    <s v="Single"/>
    <x v="4"/>
    <s v="Branch-Lakeview"/>
    <s v="Self-Employed"/>
    <s v="2021-05-05"/>
    <n v="5.2"/>
    <x v="3"/>
    <n v="2"/>
    <n v="173061.15"/>
    <n v="63683.45"/>
    <n v="725"/>
    <x v="1"/>
    <x v="1"/>
    <n v="0"/>
    <s v="N/A"/>
    <s v="Debit Only"/>
    <n v="0"/>
    <n v="57"/>
    <n v="1893.75"/>
    <n v="58.8"/>
    <x v="0"/>
    <x v="0"/>
    <x v="1"/>
    <n v="251"/>
    <x v="0"/>
  </r>
  <r>
    <x v="492"/>
    <n v="42"/>
    <s v="Female"/>
    <s v="Divorced"/>
    <x v="3"/>
    <s v="Branch-Oakridge"/>
    <s v="Self-Employed"/>
    <s v="2020-04-15"/>
    <n v="6.2"/>
    <x v="4"/>
    <n v="5"/>
    <n v="133974.64000000001"/>
    <n v="33376.449999999997"/>
    <n v="600"/>
    <x v="0"/>
    <x v="1"/>
    <n v="0"/>
    <s v="N/A"/>
    <s v="Credit Only"/>
    <n v="304625.94"/>
    <n v="3"/>
    <n v="3314.43"/>
    <n v="63.2"/>
    <x v="0"/>
    <x v="1"/>
    <x v="4"/>
    <n v="164"/>
    <x v="1"/>
  </r>
  <r>
    <x v="493"/>
    <n v="76"/>
    <s v="Male"/>
    <s v="Widowed"/>
    <x v="0"/>
    <s v="Branch-Lakeview"/>
    <s v="Freelancer"/>
    <s v="2021-08-12"/>
    <n v="4.9000000000000004"/>
    <x v="1"/>
    <n v="5"/>
    <n v="0"/>
    <n v="42457.4"/>
    <n v="694"/>
    <x v="1"/>
    <x v="3"/>
    <n v="458654"/>
    <s v="Active"/>
    <s v="None"/>
    <n v="0"/>
    <n v="54"/>
    <n v="4779.3500000000004"/>
    <n v="43.9"/>
    <x v="0"/>
    <x v="4"/>
    <x v="1"/>
    <n v="32"/>
    <x v="1"/>
  </r>
  <r>
    <x v="494"/>
    <n v="29"/>
    <s v="Female"/>
    <s v="Divorced"/>
    <x v="3"/>
    <s v="Branch-Southpark"/>
    <s v="Freelancer"/>
    <s v="2022-04-27"/>
    <n v="4.2"/>
    <x v="0"/>
    <n v="2"/>
    <n v="21082.98"/>
    <n v="27389.02"/>
    <n v="845"/>
    <x v="3"/>
    <x v="4"/>
    <n v="166880.42000000001"/>
    <s v="Closed"/>
    <s v="Debit Only"/>
    <n v="0"/>
    <n v="56"/>
    <n v="7223.36"/>
    <n v="40.799999999999997"/>
    <x v="0"/>
    <x v="1"/>
    <x v="1"/>
    <n v="176"/>
    <x v="0"/>
  </r>
  <r>
    <x v="495"/>
    <n v="57"/>
    <s v="Male"/>
    <s v="Married"/>
    <x v="0"/>
    <s v="Branch-Lakeview"/>
    <s v="Student"/>
    <s v="2022-01-13"/>
    <n v="4.5"/>
    <x v="4"/>
    <n v="1"/>
    <n v="166298.04"/>
    <n v="31705.61"/>
    <n v="514"/>
    <x v="4"/>
    <x v="1"/>
    <n v="0"/>
    <s v="N/A"/>
    <s v="Credit Only"/>
    <n v="229185.18"/>
    <n v="13"/>
    <n v="4399.41"/>
    <n v="85.4"/>
    <x v="1"/>
    <x v="3"/>
    <x v="0"/>
    <n v="126"/>
    <x v="0"/>
  </r>
  <r>
    <x v="496"/>
    <n v="64"/>
    <s v="Male"/>
    <s v="Widowed"/>
    <x v="1"/>
    <s v="Branch-Midtown"/>
    <s v="Freelancer"/>
    <s v="2019-12-02"/>
    <n v="6.6"/>
    <x v="1"/>
    <n v="5"/>
    <n v="36091.5"/>
    <n v="19304.73"/>
    <n v="619"/>
    <x v="0"/>
    <x v="4"/>
    <n v="1282883.1499999999"/>
    <s v="Active"/>
    <s v="Credit Only"/>
    <n v="250847.35999999999"/>
    <n v="39"/>
    <n v="9421.76"/>
    <n v="60.6"/>
    <x v="0"/>
    <x v="3"/>
    <x v="4"/>
    <n v="35"/>
    <x v="1"/>
  </r>
  <r>
    <x v="497"/>
    <n v="45"/>
    <s v="Male"/>
    <s v="Widowed"/>
    <x v="1"/>
    <s v="Branch-Oakridge"/>
    <s v="Freelancer"/>
    <s v="2018-07-27"/>
    <n v="7.9"/>
    <x v="3"/>
    <n v="3"/>
    <n v="11614.46"/>
    <n v="40334.959999999999"/>
    <n v="741"/>
    <x v="2"/>
    <x v="3"/>
    <n v="368445.41"/>
    <s v="Active"/>
    <s v="Both"/>
    <n v="142649.71"/>
    <n v="36"/>
    <n v="1548.62"/>
    <n v="62.7"/>
    <x v="1"/>
    <x v="4"/>
    <x v="4"/>
    <n v="46"/>
    <x v="0"/>
  </r>
  <r>
    <x v="498"/>
    <n v="50"/>
    <s v="Male"/>
    <s v="Widowed"/>
    <x v="3"/>
    <s v="Branch-Southpark"/>
    <s v="Self-Employed"/>
    <s v="2025-10-16"/>
    <n v="0.7"/>
    <x v="2"/>
    <n v="2"/>
    <n v="20146.169999999998"/>
    <n v="34857.89"/>
    <n v="656"/>
    <x v="0"/>
    <x v="1"/>
    <n v="0"/>
    <s v="N/A"/>
    <s v="Both"/>
    <n v="256971.76"/>
    <n v="6"/>
    <n v="8759.33"/>
    <n v="35.5"/>
    <x v="1"/>
    <x v="4"/>
    <x v="1"/>
    <n v="117"/>
    <x v="1"/>
  </r>
  <r>
    <x v="499"/>
    <n v="27"/>
    <s v="Female"/>
    <s v="Single"/>
    <x v="4"/>
    <s v="Branch-Hillcrest"/>
    <s v="Business Owner"/>
    <s v="2021-10-16"/>
    <n v="4.7"/>
    <x v="1"/>
    <n v="4"/>
    <n v="0"/>
    <n v="71502.070000000007"/>
    <n v="637"/>
    <x v="0"/>
    <x v="1"/>
    <n v="0"/>
    <s v="N/A"/>
    <s v="Credit Only"/>
    <n v="444663.92"/>
    <n v="1"/>
    <n v="6432.83"/>
    <n v="17.399999999999999"/>
    <x v="0"/>
    <x v="2"/>
    <x v="1"/>
    <n v="38"/>
    <x v="1"/>
  </r>
  <r>
    <x v="500"/>
    <n v="28"/>
    <s v="Male"/>
    <s v="Divorced"/>
    <x v="1"/>
    <s v="Branch-Greenfield"/>
    <s v="Retired"/>
    <s v="2020-03-07"/>
    <n v="6.3"/>
    <x v="0"/>
    <n v="2"/>
    <n v="91659.54"/>
    <n v="73119.62"/>
    <n v="825"/>
    <x v="3"/>
    <x v="4"/>
    <n v="561908.23"/>
    <s v="Defaulted"/>
    <s v="Debit Only"/>
    <n v="0"/>
    <n v="6"/>
    <n v="9826.26"/>
    <n v="28.8"/>
    <x v="1"/>
    <x v="0"/>
    <x v="2"/>
    <n v="57"/>
    <x v="0"/>
  </r>
  <r>
    <x v="501"/>
    <n v="65"/>
    <s v="Female"/>
    <s v="Married"/>
    <x v="0"/>
    <s v="Branch-Downtown"/>
    <s v="Salaried"/>
    <s v="2018-06-08"/>
    <n v="8.1"/>
    <x v="1"/>
    <n v="2"/>
    <n v="223851.96"/>
    <n v="8000"/>
    <n v="769"/>
    <x v="2"/>
    <x v="0"/>
    <n v="1750129.42"/>
    <s v="Active"/>
    <s v="Both"/>
    <n v="172123.83"/>
    <n v="26"/>
    <n v="7529.46"/>
    <n v="1.7"/>
    <x v="0"/>
    <x v="0"/>
    <x v="1"/>
    <n v="305"/>
    <x v="1"/>
  </r>
  <r>
    <x v="502"/>
    <n v="28"/>
    <s v="Male"/>
    <s v="Married"/>
    <x v="1"/>
    <s v="Branch-Oakridge"/>
    <s v="Salaried"/>
    <s v="2026-01-10"/>
    <n v="0.5"/>
    <x v="1"/>
    <n v="3"/>
    <n v="50495.519999999997"/>
    <n v="42484.31"/>
    <n v="517"/>
    <x v="4"/>
    <x v="1"/>
    <n v="0"/>
    <s v="N/A"/>
    <s v="Credit Only"/>
    <n v="293133.92"/>
    <n v="25"/>
    <n v="13026.9"/>
    <n v="46.2"/>
    <x v="1"/>
    <x v="3"/>
    <x v="1"/>
    <n v="239"/>
    <x v="0"/>
  </r>
  <r>
    <x v="503"/>
    <n v="18"/>
    <s v="Female"/>
    <s v="Single"/>
    <x v="1"/>
    <s v="Branch-Downtown"/>
    <s v="Freelancer"/>
    <s v="2025-10-19"/>
    <n v="0.7"/>
    <x v="1"/>
    <n v="1"/>
    <n v="42131.39"/>
    <n v="12612.05"/>
    <n v="563"/>
    <x v="4"/>
    <x v="3"/>
    <n v="1942182.51"/>
    <s v="Closed"/>
    <s v="Debit Only"/>
    <n v="0"/>
    <n v="17"/>
    <n v="9156.2099999999991"/>
    <n v="30.3"/>
    <x v="4"/>
    <x v="2"/>
    <x v="2"/>
    <n v="84"/>
    <x v="1"/>
  </r>
  <r>
    <x v="504"/>
    <n v="67"/>
    <s v="Male"/>
    <s v="Married"/>
    <x v="4"/>
    <s v="Branch-Greenfield"/>
    <s v="Student"/>
    <s v="2021-11-28"/>
    <n v="4.5999999999999996"/>
    <x v="2"/>
    <n v="4"/>
    <n v="66701.820000000007"/>
    <n v="19899.330000000002"/>
    <n v="734"/>
    <x v="1"/>
    <x v="0"/>
    <n v="955568.3"/>
    <s v="Active"/>
    <s v="Both"/>
    <n v="45610.99"/>
    <n v="44"/>
    <n v="3446.33"/>
    <n v="36.1"/>
    <x v="4"/>
    <x v="1"/>
    <x v="4"/>
    <n v="135"/>
    <x v="0"/>
  </r>
  <r>
    <x v="505"/>
    <n v="70"/>
    <s v="Female"/>
    <s v="Single"/>
    <x v="4"/>
    <s v="Branch-Westfield"/>
    <s v="Salaried"/>
    <s v="2019-08-13"/>
    <n v="6.9"/>
    <x v="2"/>
    <n v="2"/>
    <n v="0"/>
    <n v="41120.76"/>
    <n v="531"/>
    <x v="4"/>
    <x v="1"/>
    <n v="0"/>
    <s v="N/A"/>
    <s v="Credit Only"/>
    <n v="191662.09"/>
    <n v="44"/>
    <n v="13464"/>
    <n v="6.7"/>
    <x v="0"/>
    <x v="4"/>
    <x v="1"/>
    <n v="274"/>
    <x v="1"/>
  </r>
  <r>
    <x v="506"/>
    <n v="42"/>
    <s v="Female"/>
    <s v="Widowed"/>
    <x v="0"/>
    <s v="Branch-Harborview"/>
    <s v="Freelancer"/>
    <s v="2022-10-27"/>
    <n v="3.7"/>
    <x v="4"/>
    <n v="2"/>
    <n v="0"/>
    <n v="31712.1"/>
    <n v="744"/>
    <x v="2"/>
    <x v="4"/>
    <n v="2448217.4900000002"/>
    <s v="Active"/>
    <s v="Credit Only"/>
    <n v="218919.94"/>
    <n v="9"/>
    <n v="6084.37"/>
    <n v="66.5"/>
    <x v="0"/>
    <x v="3"/>
    <x v="1"/>
    <n v="90"/>
    <x v="0"/>
  </r>
  <r>
    <x v="507"/>
    <n v="69"/>
    <s v="Female"/>
    <s v="Married"/>
    <x v="3"/>
    <s v="Branch-Downtown"/>
    <s v="Self-Employed"/>
    <s v="2019-04-16"/>
    <n v="7.2"/>
    <x v="1"/>
    <n v="1"/>
    <n v="131613.51"/>
    <n v="33218.46"/>
    <n v="661"/>
    <x v="0"/>
    <x v="4"/>
    <n v="1791902.95"/>
    <s v="Active"/>
    <s v="Credit Only"/>
    <n v="357995.97"/>
    <n v="44"/>
    <n v="12963.52"/>
    <n v="42.9"/>
    <x v="0"/>
    <x v="4"/>
    <x v="4"/>
    <n v="99"/>
    <x v="0"/>
  </r>
  <r>
    <x v="508"/>
    <n v="53"/>
    <s v="Female"/>
    <s v="Married"/>
    <x v="3"/>
    <s v="Branch-Harborview"/>
    <s v="Self-Employed"/>
    <s v="2018-11-24"/>
    <n v="7.6"/>
    <x v="1"/>
    <n v="2"/>
    <n v="0"/>
    <n v="59276.77"/>
    <n v="639"/>
    <x v="0"/>
    <x v="1"/>
    <n v="0"/>
    <s v="N/A"/>
    <s v="Debit Only"/>
    <n v="0"/>
    <n v="20"/>
    <n v="1717.95"/>
    <n v="98"/>
    <x v="2"/>
    <x v="3"/>
    <x v="1"/>
    <n v="399"/>
    <x v="0"/>
  </r>
  <r>
    <x v="509"/>
    <n v="70"/>
    <s v="Male"/>
    <s v="Married"/>
    <x v="2"/>
    <s v="Branch-Greenfield"/>
    <s v="Salaried"/>
    <s v="2020-12-01"/>
    <n v="5.6"/>
    <x v="1"/>
    <n v="3"/>
    <n v="44327.839999999997"/>
    <n v="71791.27"/>
    <n v="641"/>
    <x v="0"/>
    <x v="5"/>
    <n v="2324594.7799999998"/>
    <s v="Closed"/>
    <s v="Credit Only"/>
    <n v="439133.78"/>
    <n v="49"/>
    <n v="13881.34"/>
    <n v="91.7"/>
    <x v="0"/>
    <x v="3"/>
    <x v="1"/>
    <n v="158"/>
    <x v="0"/>
  </r>
  <r>
    <x v="510"/>
    <n v="57"/>
    <s v="Female"/>
    <s v="Single"/>
    <x v="3"/>
    <s v="Branch-Downtown"/>
    <s v="Freelancer"/>
    <s v="2019-10-28"/>
    <n v="6.7"/>
    <x v="1"/>
    <n v="3"/>
    <n v="48854.49"/>
    <n v="54602.89"/>
    <n v="559"/>
    <x v="4"/>
    <x v="0"/>
    <n v="2089815.94"/>
    <s v="Closed"/>
    <s v="Both"/>
    <n v="177376.8"/>
    <n v="8"/>
    <n v="11571.74"/>
    <n v="74.8"/>
    <x v="0"/>
    <x v="4"/>
    <x v="3"/>
    <n v="284"/>
    <x v="0"/>
  </r>
  <r>
    <x v="511"/>
    <n v="59"/>
    <s v="Male"/>
    <s v="Single"/>
    <x v="4"/>
    <s v="Branch-Northgate"/>
    <s v="Self-Employed"/>
    <s v="2022-02-02"/>
    <n v="4.4000000000000004"/>
    <x v="2"/>
    <n v="1"/>
    <n v="77659.16"/>
    <n v="53696.43"/>
    <n v="558"/>
    <x v="4"/>
    <x v="2"/>
    <n v="2021061.38"/>
    <s v="Active"/>
    <s v="Credit Only"/>
    <n v="271267.21999999997"/>
    <n v="45"/>
    <n v="6622.74"/>
    <n v="23.1"/>
    <x v="1"/>
    <x v="1"/>
    <x v="1"/>
    <n v="10"/>
    <x v="0"/>
  </r>
  <r>
    <x v="512"/>
    <n v="27"/>
    <s v="Female"/>
    <s v="Divorced"/>
    <x v="2"/>
    <s v="Branch-Hillcrest"/>
    <s v="Salaried"/>
    <s v="2025-07-12"/>
    <n v="1"/>
    <x v="4"/>
    <n v="4"/>
    <n v="0"/>
    <n v="31774.05"/>
    <n v="720"/>
    <x v="1"/>
    <x v="2"/>
    <n v="932396.9"/>
    <s v="Closed"/>
    <s v="Debit Only"/>
    <n v="0"/>
    <n v="28"/>
    <n v="12410.51"/>
    <n v="28.4"/>
    <x v="0"/>
    <x v="1"/>
    <x v="4"/>
    <n v="42"/>
    <x v="0"/>
  </r>
  <r>
    <x v="513"/>
    <n v="54"/>
    <s v="Female"/>
    <s v="Divorced"/>
    <x v="0"/>
    <s v="Branch-Downtown"/>
    <s v="Self-Employed"/>
    <s v="2026-01-25"/>
    <n v="0.4"/>
    <x v="4"/>
    <n v="5"/>
    <n v="38800.839999999997"/>
    <n v="33834.57"/>
    <n v="764"/>
    <x v="2"/>
    <x v="4"/>
    <n v="1455324.41"/>
    <s v="Active"/>
    <s v="Debit Only"/>
    <n v="0"/>
    <n v="10"/>
    <n v="6870.72"/>
    <n v="79.099999999999994"/>
    <x v="1"/>
    <x v="1"/>
    <x v="2"/>
    <n v="88"/>
    <x v="0"/>
  </r>
  <r>
    <x v="514"/>
    <n v="24"/>
    <s v="Female"/>
    <s v="Married"/>
    <x v="0"/>
    <s v="Branch-Westfield"/>
    <s v="Self-Employed"/>
    <s v="2021-03-13"/>
    <n v="5.3"/>
    <x v="1"/>
    <n v="5"/>
    <n v="36647.82"/>
    <n v="72534.460000000006"/>
    <n v="702"/>
    <x v="1"/>
    <x v="1"/>
    <n v="0"/>
    <s v="N/A"/>
    <s v="Credit Only"/>
    <n v="377593.77"/>
    <n v="29"/>
    <n v="948.34"/>
    <n v="28.9"/>
    <x v="0"/>
    <x v="1"/>
    <x v="3"/>
    <n v="195"/>
    <x v="0"/>
  </r>
  <r>
    <x v="515"/>
    <n v="62"/>
    <s v="Female"/>
    <s v="Single"/>
    <x v="3"/>
    <s v="Branch-Eastwood"/>
    <s v="Salaried"/>
    <s v="2020-08-13"/>
    <n v="5.9"/>
    <x v="1"/>
    <n v="3"/>
    <n v="87737.94"/>
    <n v="65831.460000000006"/>
    <n v="746"/>
    <x v="2"/>
    <x v="1"/>
    <n v="0"/>
    <s v="N/A"/>
    <s v="Both"/>
    <n v="443956.16"/>
    <n v="39"/>
    <n v="1523.07"/>
    <n v="26.3"/>
    <x v="1"/>
    <x v="1"/>
    <x v="4"/>
    <n v="235"/>
    <x v="0"/>
  </r>
  <r>
    <x v="516"/>
    <n v="43"/>
    <s v="Female"/>
    <s v="Widowed"/>
    <x v="0"/>
    <s v="Branch-Riverside"/>
    <s v="Freelancer"/>
    <s v="2021-12-31"/>
    <n v="4.5"/>
    <x v="1"/>
    <n v="5"/>
    <n v="0"/>
    <n v="61514.47"/>
    <n v="760"/>
    <x v="2"/>
    <x v="4"/>
    <n v="1915519.97"/>
    <s v="Active"/>
    <s v="Debit Only"/>
    <n v="0"/>
    <n v="11"/>
    <n v="7272.23"/>
    <n v="46.8"/>
    <x v="1"/>
    <x v="3"/>
    <x v="1"/>
    <n v="397"/>
    <x v="0"/>
  </r>
  <r>
    <x v="517"/>
    <n v="54"/>
    <s v="Female"/>
    <s v="Widowed"/>
    <x v="1"/>
    <s v="Branch-Harborview"/>
    <s v="Retired"/>
    <s v="2020-02-23"/>
    <n v="6.4"/>
    <x v="4"/>
    <n v="3"/>
    <n v="0"/>
    <n v="26453.43"/>
    <n v="671"/>
    <x v="1"/>
    <x v="4"/>
    <n v="178159.51"/>
    <s v="Active"/>
    <s v="Both"/>
    <n v="250467.13"/>
    <n v="51"/>
    <n v="6327.33"/>
    <n v="81.8"/>
    <x v="0"/>
    <x v="2"/>
    <x v="1"/>
    <n v="60"/>
    <x v="0"/>
  </r>
  <r>
    <x v="518"/>
    <n v="42"/>
    <s v="Female"/>
    <s v="Divorced"/>
    <x v="2"/>
    <s v="Branch-Hillcrest"/>
    <s v="Student"/>
    <s v="2020-06-21"/>
    <n v="6"/>
    <x v="2"/>
    <n v="5"/>
    <n v="139770.60999999999"/>
    <n v="59257.49"/>
    <n v="547"/>
    <x v="4"/>
    <x v="1"/>
    <n v="0"/>
    <s v="N/A"/>
    <s v="None"/>
    <n v="0"/>
    <n v="56"/>
    <n v="881.37"/>
    <n v="74.599999999999994"/>
    <x v="1"/>
    <x v="3"/>
    <x v="4"/>
    <n v="317"/>
    <x v="0"/>
  </r>
  <r>
    <x v="519"/>
    <n v="63"/>
    <s v="Male"/>
    <s v="Divorced"/>
    <x v="0"/>
    <s v="Branch-Downtown"/>
    <s v="Self-Employed"/>
    <s v="2024-12-26"/>
    <n v="1.5"/>
    <x v="2"/>
    <n v="3"/>
    <n v="0"/>
    <n v="37138.14"/>
    <n v="661"/>
    <x v="0"/>
    <x v="3"/>
    <n v="1455612.57"/>
    <s v="Active"/>
    <s v="None"/>
    <n v="0"/>
    <n v="27"/>
    <n v="9851.4599999999991"/>
    <n v="55.9"/>
    <x v="4"/>
    <x v="2"/>
    <x v="2"/>
    <n v="338"/>
    <x v="0"/>
  </r>
  <r>
    <x v="520"/>
    <n v="34"/>
    <s v="Male"/>
    <s v="Single"/>
    <x v="3"/>
    <s v="Branch-Lakeview"/>
    <s v="Business Owner"/>
    <s v="2021-05-14"/>
    <n v="5.0999999999999996"/>
    <x v="2"/>
    <n v="3"/>
    <n v="4376.53"/>
    <n v="28592.35"/>
    <n v="584"/>
    <x v="0"/>
    <x v="1"/>
    <n v="0"/>
    <s v="N/A"/>
    <s v="Debit Only"/>
    <n v="0"/>
    <n v="21"/>
    <n v="10593.51"/>
    <n v="32.299999999999997"/>
    <x v="0"/>
    <x v="2"/>
    <x v="1"/>
    <n v="28"/>
    <x v="0"/>
  </r>
  <r>
    <x v="521"/>
    <n v="20"/>
    <s v="Female"/>
    <s v="Married"/>
    <x v="3"/>
    <s v="Branch-Southpark"/>
    <s v="Business Owner"/>
    <s v="2026-04-10"/>
    <n v="0.2"/>
    <x v="2"/>
    <n v="3"/>
    <n v="83615.61"/>
    <n v="43006.879999999997"/>
    <n v="781"/>
    <x v="2"/>
    <x v="1"/>
    <n v="0"/>
    <s v="N/A"/>
    <s v="Credit Only"/>
    <n v="154364.76"/>
    <n v="16"/>
    <n v="9695.59"/>
    <n v="19.899999999999999"/>
    <x v="4"/>
    <x v="4"/>
    <x v="1"/>
    <n v="343"/>
    <x v="0"/>
  </r>
  <r>
    <x v="522"/>
    <n v="29"/>
    <s v="Male"/>
    <s v="Divorced"/>
    <x v="2"/>
    <s v="Branch-Greenfield"/>
    <s v="Student"/>
    <s v="2023-11-19"/>
    <n v="2.6"/>
    <x v="1"/>
    <n v="5"/>
    <n v="0"/>
    <n v="30119"/>
    <n v="787"/>
    <x v="2"/>
    <x v="2"/>
    <n v="1319791.76"/>
    <s v="Closed"/>
    <s v="Credit Only"/>
    <n v="26500.35"/>
    <n v="29"/>
    <n v="13283"/>
    <n v="37.200000000000003"/>
    <x v="2"/>
    <x v="1"/>
    <x v="3"/>
    <n v="328"/>
    <x v="0"/>
  </r>
  <r>
    <x v="523"/>
    <n v="67"/>
    <s v="Female"/>
    <s v="Divorced"/>
    <x v="0"/>
    <s v="Branch-Westfield"/>
    <s v="Student"/>
    <s v="2021-07-10"/>
    <n v="5"/>
    <x v="1"/>
    <n v="3"/>
    <n v="69972.55"/>
    <n v="64876.4"/>
    <n v="623"/>
    <x v="0"/>
    <x v="1"/>
    <n v="0"/>
    <s v="N/A"/>
    <s v="Debit Only"/>
    <n v="0"/>
    <n v="53"/>
    <n v="5845.91"/>
    <n v="55.4"/>
    <x v="2"/>
    <x v="4"/>
    <x v="4"/>
    <n v="269"/>
    <x v="0"/>
  </r>
  <r>
    <x v="524"/>
    <n v="78"/>
    <s v="Female"/>
    <s v="Married"/>
    <x v="4"/>
    <s v="Branch-Eastwood"/>
    <s v="Retired"/>
    <s v="2018-06-29"/>
    <n v="8"/>
    <x v="2"/>
    <n v="2"/>
    <n v="11238.54"/>
    <n v="58771.9"/>
    <n v="728"/>
    <x v="1"/>
    <x v="5"/>
    <n v="229671.65"/>
    <s v="Defaulted"/>
    <s v="None"/>
    <n v="0"/>
    <n v="2"/>
    <n v="11612.3"/>
    <n v="45.6"/>
    <x v="1"/>
    <x v="4"/>
    <x v="2"/>
    <n v="38"/>
    <x v="1"/>
  </r>
  <r>
    <x v="525"/>
    <n v="70"/>
    <s v="Male"/>
    <s v="Married"/>
    <x v="1"/>
    <s v="Branch-Northgate"/>
    <s v="Self-Employed"/>
    <s v="2020-05-24"/>
    <n v="6.1"/>
    <x v="0"/>
    <n v="1"/>
    <n v="120805.2"/>
    <n v="52796.75"/>
    <n v="614"/>
    <x v="0"/>
    <x v="2"/>
    <n v="481942.49"/>
    <s v="Closed"/>
    <s v="Credit Only"/>
    <n v="188179.21"/>
    <n v="10"/>
    <n v="11054.53"/>
    <n v="6.9"/>
    <x v="1"/>
    <x v="1"/>
    <x v="3"/>
    <n v="170"/>
    <x v="1"/>
  </r>
  <r>
    <x v="526"/>
    <n v="65"/>
    <s v="Female"/>
    <s v="Widowed"/>
    <x v="4"/>
    <s v="Branch-Riverside"/>
    <s v="Business Owner"/>
    <s v="2021-09-02"/>
    <n v="4.8"/>
    <x v="1"/>
    <n v="5"/>
    <n v="38283.19"/>
    <n v="87694.04"/>
    <n v="622"/>
    <x v="0"/>
    <x v="1"/>
    <n v="0"/>
    <s v="N/A"/>
    <s v="Credit Only"/>
    <n v="309483.82"/>
    <n v="40"/>
    <n v="5913.57"/>
    <n v="67.5"/>
    <x v="0"/>
    <x v="1"/>
    <x v="1"/>
    <n v="40"/>
    <x v="1"/>
  </r>
  <r>
    <x v="527"/>
    <n v="59"/>
    <s v="Female"/>
    <s v="Married"/>
    <x v="0"/>
    <s v="Branch-Greenfield"/>
    <s v="Salaried"/>
    <s v="2025-03-23"/>
    <n v="1.3"/>
    <x v="2"/>
    <n v="1"/>
    <n v="48067.44"/>
    <n v="100892.61"/>
    <n v="640"/>
    <x v="0"/>
    <x v="1"/>
    <n v="0"/>
    <s v="N/A"/>
    <s v="Both"/>
    <n v="109981.37"/>
    <n v="45"/>
    <n v="9586.91"/>
    <n v="18.100000000000001"/>
    <x v="0"/>
    <x v="3"/>
    <x v="4"/>
    <n v="258"/>
    <x v="0"/>
  </r>
  <r>
    <x v="528"/>
    <n v="33"/>
    <s v="Female"/>
    <s v="Married"/>
    <x v="2"/>
    <s v="Branch-Downtown"/>
    <s v="Retired"/>
    <s v="2018-08-17"/>
    <n v="7.9"/>
    <x v="0"/>
    <n v="5"/>
    <n v="99524.65"/>
    <n v="36971.53"/>
    <n v="775"/>
    <x v="2"/>
    <x v="1"/>
    <n v="0"/>
    <s v="N/A"/>
    <s v="Credit Only"/>
    <n v="78706.92"/>
    <n v="4"/>
    <n v="13972.98"/>
    <n v="97.5"/>
    <x v="2"/>
    <x v="0"/>
    <x v="4"/>
    <n v="394"/>
    <x v="0"/>
  </r>
  <r>
    <x v="529"/>
    <n v="34"/>
    <s v="Female"/>
    <s v="Single"/>
    <x v="4"/>
    <s v="Branch-Northgate"/>
    <s v="Student"/>
    <s v="2021-03-17"/>
    <n v="5.3"/>
    <x v="2"/>
    <n v="2"/>
    <n v="43767.81"/>
    <n v="41166.65"/>
    <n v="601"/>
    <x v="0"/>
    <x v="4"/>
    <n v="1426594.01"/>
    <s v="Closed"/>
    <s v="Debit Only"/>
    <n v="0"/>
    <n v="1"/>
    <n v="3333.7"/>
    <n v="53.4"/>
    <x v="0"/>
    <x v="4"/>
    <x v="1"/>
    <n v="214"/>
    <x v="0"/>
  </r>
  <r>
    <x v="530"/>
    <n v="77"/>
    <s v="Female"/>
    <s v="Widowed"/>
    <x v="0"/>
    <s v="Branch-Riverside"/>
    <s v="Freelancer"/>
    <s v="2024-07-17"/>
    <n v="2"/>
    <x v="1"/>
    <n v="4"/>
    <n v="105936.45"/>
    <n v="41109.879999999997"/>
    <n v="671"/>
    <x v="1"/>
    <x v="3"/>
    <n v="457000.98"/>
    <s v="Active"/>
    <s v="Credit Only"/>
    <n v="69937.77"/>
    <n v="37"/>
    <n v="3491.07"/>
    <n v="31.6"/>
    <x v="4"/>
    <x v="3"/>
    <x v="1"/>
    <n v="373"/>
    <x v="0"/>
  </r>
  <r>
    <x v="531"/>
    <n v="71"/>
    <s v="Male"/>
    <s v="Widowed"/>
    <x v="2"/>
    <s v="Branch-Greenfield"/>
    <s v="Retired"/>
    <s v="2023-05-01"/>
    <n v="3.2"/>
    <x v="4"/>
    <n v="4"/>
    <n v="41987.57"/>
    <n v="45049.51"/>
    <n v="807"/>
    <x v="3"/>
    <x v="0"/>
    <n v="398853.58"/>
    <s v="Active"/>
    <s v="Credit Only"/>
    <n v="387699.53"/>
    <n v="54"/>
    <n v="12664.3"/>
    <n v="89.8"/>
    <x v="4"/>
    <x v="0"/>
    <x v="1"/>
    <n v="334"/>
    <x v="0"/>
  </r>
  <r>
    <x v="532"/>
    <n v="76"/>
    <s v="Female"/>
    <s v="Single"/>
    <x v="0"/>
    <s v="Branch-Lakeview"/>
    <s v="Student"/>
    <s v="2018-09-08"/>
    <n v="7.8"/>
    <x v="3"/>
    <n v="4"/>
    <n v="121864.94"/>
    <n v="30096.74"/>
    <n v="751"/>
    <x v="2"/>
    <x v="1"/>
    <n v="0"/>
    <s v="N/A"/>
    <s v="None"/>
    <n v="0"/>
    <n v="6"/>
    <n v="5282.95"/>
    <n v="24.2"/>
    <x v="0"/>
    <x v="1"/>
    <x v="0"/>
    <n v="296"/>
    <x v="0"/>
  </r>
  <r>
    <x v="533"/>
    <n v="28"/>
    <s v="Female"/>
    <s v="Widowed"/>
    <x v="4"/>
    <s v="Branch-Riverside"/>
    <s v="Student"/>
    <s v="2020-07-16"/>
    <n v="6"/>
    <x v="0"/>
    <n v="3"/>
    <n v="16109.69"/>
    <n v="32895.67"/>
    <n v="689"/>
    <x v="1"/>
    <x v="1"/>
    <n v="0"/>
    <s v="N/A"/>
    <s v="Credit Only"/>
    <n v="131580.03"/>
    <n v="19"/>
    <n v="7734.16"/>
    <n v="30.6"/>
    <x v="0"/>
    <x v="4"/>
    <x v="3"/>
    <n v="152"/>
    <x v="0"/>
  </r>
  <r>
    <x v="534"/>
    <n v="78"/>
    <s v="Female"/>
    <s v="Widowed"/>
    <x v="2"/>
    <s v="Branch-Harborview"/>
    <s v="Self-Employed"/>
    <s v="2019-04-10"/>
    <n v="7.2"/>
    <x v="2"/>
    <n v="2"/>
    <n v="87199.72"/>
    <n v="63206.5"/>
    <n v="670"/>
    <x v="1"/>
    <x v="1"/>
    <n v="0"/>
    <s v="N/A"/>
    <s v="Both"/>
    <n v="374649.22"/>
    <n v="1"/>
    <n v="4292.41"/>
    <n v="70.099999999999994"/>
    <x v="0"/>
    <x v="3"/>
    <x v="4"/>
    <n v="78"/>
    <x v="0"/>
  </r>
  <r>
    <x v="535"/>
    <n v="53"/>
    <s v="Male"/>
    <s v="Widowed"/>
    <x v="0"/>
    <s v="Branch-Westfield"/>
    <s v="Salaried"/>
    <s v="2019-11-17"/>
    <n v="6.6"/>
    <x v="2"/>
    <n v="3"/>
    <n v="32376.44"/>
    <n v="55117.25"/>
    <n v="771"/>
    <x v="2"/>
    <x v="1"/>
    <n v="0"/>
    <s v="N/A"/>
    <s v="Both"/>
    <n v="76819.929999999993"/>
    <n v="42"/>
    <n v="12117.46"/>
    <n v="8.8000000000000007"/>
    <x v="0"/>
    <x v="2"/>
    <x v="4"/>
    <n v="334"/>
    <x v="0"/>
  </r>
  <r>
    <x v="536"/>
    <n v="67"/>
    <s v="Female"/>
    <s v="Widowed"/>
    <x v="2"/>
    <s v="Branch-Midtown"/>
    <s v="Student"/>
    <s v="2025-08-05"/>
    <n v="0.9"/>
    <x v="4"/>
    <n v="3"/>
    <n v="91776.21"/>
    <n v="48329.71"/>
    <n v="715"/>
    <x v="1"/>
    <x v="4"/>
    <n v="1108128.71"/>
    <s v="Closed"/>
    <s v="Credit Only"/>
    <n v="455755.44"/>
    <n v="41"/>
    <n v="10686.9"/>
    <n v="27.7"/>
    <x v="1"/>
    <x v="3"/>
    <x v="4"/>
    <n v="216"/>
    <x v="1"/>
  </r>
  <r>
    <x v="537"/>
    <n v="38"/>
    <s v="Female"/>
    <s v="Married"/>
    <x v="2"/>
    <s v="Branch-Harborview"/>
    <s v="Self-Employed"/>
    <s v="2025-11-20"/>
    <n v="0.6"/>
    <x v="2"/>
    <n v="4"/>
    <n v="34479.300000000003"/>
    <n v="58478.720000000001"/>
    <n v="685"/>
    <x v="1"/>
    <x v="1"/>
    <n v="0"/>
    <s v="N/A"/>
    <s v="Debit Only"/>
    <n v="0"/>
    <n v="6"/>
    <n v="12972.04"/>
    <n v="93.1"/>
    <x v="0"/>
    <x v="1"/>
    <x v="1"/>
    <n v="292"/>
    <x v="0"/>
  </r>
  <r>
    <x v="538"/>
    <n v="32"/>
    <s v="Female"/>
    <s v="Single"/>
    <x v="3"/>
    <s v="Branch-Downtown"/>
    <s v="Business Owner"/>
    <s v="2021-06-08"/>
    <n v="5.0999999999999996"/>
    <x v="1"/>
    <n v="3"/>
    <n v="0"/>
    <n v="8000"/>
    <n v="786"/>
    <x v="2"/>
    <x v="3"/>
    <n v="1712803.86"/>
    <s v="Closed"/>
    <s v="Debit Only"/>
    <n v="0"/>
    <n v="49"/>
    <n v="13846.02"/>
    <n v="80.400000000000006"/>
    <x v="2"/>
    <x v="3"/>
    <x v="2"/>
    <n v="155"/>
    <x v="1"/>
  </r>
  <r>
    <x v="539"/>
    <n v="59"/>
    <s v="Male"/>
    <s v="Single"/>
    <x v="0"/>
    <s v="Branch-Harborview"/>
    <s v="Freelancer"/>
    <s v="2021-12-02"/>
    <n v="4.5999999999999996"/>
    <x v="2"/>
    <n v="2"/>
    <n v="63978"/>
    <n v="45234.48"/>
    <n v="696"/>
    <x v="1"/>
    <x v="2"/>
    <n v="2256314.12"/>
    <s v="Closed"/>
    <s v="None"/>
    <n v="0"/>
    <n v="16"/>
    <n v="1532.74"/>
    <n v="87.8"/>
    <x v="0"/>
    <x v="0"/>
    <x v="2"/>
    <n v="89"/>
    <x v="0"/>
  </r>
  <r>
    <x v="540"/>
    <n v="58"/>
    <s v="Female"/>
    <s v="Married"/>
    <x v="1"/>
    <s v="Branch-Eastwood"/>
    <s v="Freelancer"/>
    <s v="2021-04-18"/>
    <n v="5.2"/>
    <x v="3"/>
    <n v="2"/>
    <n v="102970.17"/>
    <n v="8000"/>
    <n v="841"/>
    <x v="3"/>
    <x v="1"/>
    <n v="0"/>
    <s v="N/A"/>
    <s v="Debit Only"/>
    <n v="0"/>
    <n v="30"/>
    <n v="4698.95"/>
    <n v="76.099999999999994"/>
    <x v="1"/>
    <x v="0"/>
    <x v="4"/>
    <n v="40"/>
    <x v="0"/>
  </r>
  <r>
    <x v="541"/>
    <n v="77"/>
    <s v="Female"/>
    <s v="Married"/>
    <x v="4"/>
    <s v="Branch-Lakeview"/>
    <s v="Retired"/>
    <s v="2024-04-16"/>
    <n v="2.2000000000000002"/>
    <x v="1"/>
    <n v="3"/>
    <n v="0"/>
    <n v="23436.1"/>
    <n v="754"/>
    <x v="2"/>
    <x v="3"/>
    <n v="1716148.05"/>
    <s v="Closed"/>
    <s v="None"/>
    <n v="0"/>
    <n v="45"/>
    <n v="13686.87"/>
    <n v="28.5"/>
    <x v="0"/>
    <x v="0"/>
    <x v="0"/>
    <n v="143"/>
    <x v="0"/>
  </r>
  <r>
    <x v="542"/>
    <n v="48"/>
    <s v="Female"/>
    <s v="Single"/>
    <x v="0"/>
    <s v="Branch-Hillcrest"/>
    <s v="Salaried"/>
    <s v="2024-02-20"/>
    <n v="2.4"/>
    <x v="1"/>
    <n v="4"/>
    <n v="51455.31"/>
    <n v="57348.97"/>
    <n v="814"/>
    <x v="3"/>
    <x v="1"/>
    <n v="0"/>
    <s v="N/A"/>
    <s v="None"/>
    <n v="0"/>
    <n v="37"/>
    <n v="6161.08"/>
    <n v="52.3"/>
    <x v="0"/>
    <x v="1"/>
    <x v="2"/>
    <n v="276"/>
    <x v="0"/>
  </r>
  <r>
    <x v="543"/>
    <n v="32"/>
    <s v="Male"/>
    <s v="Married"/>
    <x v="3"/>
    <s v="Branch-Riverside"/>
    <s v="Student"/>
    <s v="2021-06-05"/>
    <n v="5.0999999999999996"/>
    <x v="1"/>
    <n v="4"/>
    <n v="34953.19"/>
    <n v="38024.89"/>
    <n v="666"/>
    <x v="0"/>
    <x v="3"/>
    <n v="1187222.9099999999"/>
    <s v="Active"/>
    <s v="None"/>
    <n v="0"/>
    <n v="13"/>
    <n v="2312.79"/>
    <n v="59"/>
    <x v="1"/>
    <x v="2"/>
    <x v="1"/>
    <n v="294"/>
    <x v="0"/>
  </r>
  <r>
    <x v="544"/>
    <n v="70"/>
    <s v="Female"/>
    <s v="Widowed"/>
    <x v="0"/>
    <s v="Branch-Southpark"/>
    <s v="Retired"/>
    <s v="2021-07-16"/>
    <n v="5"/>
    <x v="3"/>
    <n v="2"/>
    <n v="0"/>
    <n v="57898.33"/>
    <n v="649"/>
    <x v="0"/>
    <x v="2"/>
    <n v="593454.18000000005"/>
    <s v="Active"/>
    <s v="None"/>
    <n v="0"/>
    <n v="33"/>
    <n v="10941.42"/>
    <n v="64.7"/>
    <x v="4"/>
    <x v="3"/>
    <x v="4"/>
    <n v="385"/>
    <x v="0"/>
  </r>
  <r>
    <x v="545"/>
    <n v="46"/>
    <s v="Male"/>
    <s v="Divorced"/>
    <x v="0"/>
    <s v="Branch-Harborview"/>
    <s v="Freelancer"/>
    <s v="2018-04-25"/>
    <n v="8.1999999999999993"/>
    <x v="1"/>
    <n v="1"/>
    <n v="82790.570000000007"/>
    <n v="43692.03"/>
    <n v="717"/>
    <x v="1"/>
    <x v="4"/>
    <n v="468988.07"/>
    <s v="Active"/>
    <s v="None"/>
    <n v="0"/>
    <n v="58"/>
    <n v="6337.39"/>
    <n v="74.2"/>
    <x v="2"/>
    <x v="0"/>
    <x v="1"/>
    <n v="178"/>
    <x v="0"/>
  </r>
  <r>
    <x v="546"/>
    <n v="35"/>
    <s v="Female"/>
    <s v="Married"/>
    <x v="0"/>
    <s v="Branch-Lakeview"/>
    <s v="Student"/>
    <s v="2021-08-19"/>
    <n v="4.9000000000000004"/>
    <x v="1"/>
    <n v="1"/>
    <n v="0"/>
    <n v="15902.53"/>
    <n v="595"/>
    <x v="0"/>
    <x v="2"/>
    <n v="1445328.22"/>
    <s v="Active"/>
    <s v="None"/>
    <n v="0"/>
    <n v="58"/>
    <n v="8458.5"/>
    <n v="95.4"/>
    <x v="0"/>
    <x v="2"/>
    <x v="0"/>
    <n v="188"/>
    <x v="0"/>
  </r>
  <r>
    <x v="547"/>
    <n v="27"/>
    <s v="Female"/>
    <s v="Divorced"/>
    <x v="2"/>
    <s v="Branch-Northgate"/>
    <s v="Retired"/>
    <s v="2023-07-06"/>
    <n v="3"/>
    <x v="2"/>
    <n v="2"/>
    <n v="0"/>
    <n v="42320.5"/>
    <n v="761"/>
    <x v="2"/>
    <x v="4"/>
    <n v="181333.62"/>
    <s v="Active"/>
    <s v="Debit Only"/>
    <n v="0"/>
    <n v="33"/>
    <n v="502"/>
    <n v="61.7"/>
    <x v="0"/>
    <x v="4"/>
    <x v="4"/>
    <n v="201"/>
    <x v="0"/>
  </r>
  <r>
    <x v="548"/>
    <n v="35"/>
    <s v="Female"/>
    <s v="Single"/>
    <x v="3"/>
    <s v="Branch-Greenfield"/>
    <s v="Student"/>
    <s v="2019-01-05"/>
    <n v="7.5"/>
    <x v="1"/>
    <n v="5"/>
    <n v="154161.32"/>
    <n v="66290.44"/>
    <n v="783"/>
    <x v="2"/>
    <x v="2"/>
    <n v="1362091.16"/>
    <s v="Closed"/>
    <s v="None"/>
    <n v="0"/>
    <n v="54"/>
    <n v="14408.33"/>
    <n v="24.4"/>
    <x v="4"/>
    <x v="4"/>
    <x v="2"/>
    <n v="3"/>
    <x v="0"/>
  </r>
  <r>
    <x v="549"/>
    <n v="69"/>
    <s v="Male"/>
    <s v="Married"/>
    <x v="1"/>
    <s v="Branch-Southpark"/>
    <s v="Retired"/>
    <s v="2019-07-25"/>
    <n v="6.9"/>
    <x v="3"/>
    <n v="3"/>
    <n v="46716.2"/>
    <n v="69204.73"/>
    <n v="755"/>
    <x v="2"/>
    <x v="2"/>
    <n v="1542301.53"/>
    <s v="Active"/>
    <s v="None"/>
    <n v="0"/>
    <n v="24"/>
    <n v="13603.2"/>
    <n v="61.4"/>
    <x v="2"/>
    <x v="3"/>
    <x v="1"/>
    <n v="177"/>
    <x v="0"/>
  </r>
  <r>
    <x v="550"/>
    <n v="41"/>
    <s v="Female"/>
    <s v="Married"/>
    <x v="2"/>
    <s v="Branch-Midtown"/>
    <s v="Business Owner"/>
    <s v="2019-06-14"/>
    <n v="7"/>
    <x v="4"/>
    <n v="1"/>
    <n v="24459.96"/>
    <n v="23177.78"/>
    <n v="691"/>
    <x v="1"/>
    <x v="2"/>
    <n v="1871005.74"/>
    <s v="Active"/>
    <s v="Debit Only"/>
    <n v="0"/>
    <n v="39"/>
    <n v="9644.0499999999993"/>
    <n v="22.3"/>
    <x v="2"/>
    <x v="2"/>
    <x v="2"/>
    <n v="47"/>
    <x v="1"/>
  </r>
  <r>
    <x v="551"/>
    <n v="26"/>
    <s v="Female"/>
    <s v="Widowed"/>
    <x v="2"/>
    <s v="Branch-Lakeview"/>
    <s v="Business Owner"/>
    <s v="2022-03-18"/>
    <n v="4.3"/>
    <x v="1"/>
    <n v="5"/>
    <n v="120586.46"/>
    <n v="57523.519999999997"/>
    <n v="575"/>
    <x v="4"/>
    <x v="5"/>
    <n v="279884.95"/>
    <s v="Active"/>
    <s v="Debit Only"/>
    <n v="0"/>
    <n v="43"/>
    <n v="6947.83"/>
    <n v="65.3"/>
    <x v="3"/>
    <x v="3"/>
    <x v="3"/>
    <n v="388"/>
    <x v="0"/>
  </r>
  <r>
    <x v="552"/>
    <n v="22"/>
    <s v="Female"/>
    <s v="Married"/>
    <x v="3"/>
    <s v="Branch-Southpark"/>
    <s v="Freelancer"/>
    <s v="2020-03-22"/>
    <n v="6.3"/>
    <x v="1"/>
    <n v="2"/>
    <n v="29337.4"/>
    <n v="64290.98"/>
    <n v="671"/>
    <x v="1"/>
    <x v="5"/>
    <n v="2388267.52"/>
    <s v="Active"/>
    <s v="Both"/>
    <n v="39040.5"/>
    <n v="11"/>
    <n v="9762.7199999999993"/>
    <n v="25.5"/>
    <x v="2"/>
    <x v="0"/>
    <x v="1"/>
    <n v="359"/>
    <x v="0"/>
  </r>
  <r>
    <x v="553"/>
    <n v="31"/>
    <s v="Female"/>
    <s v="Widowed"/>
    <x v="1"/>
    <s v="Branch-Westfield"/>
    <s v="Retired"/>
    <s v="2020-02-26"/>
    <n v="6.3"/>
    <x v="1"/>
    <n v="5"/>
    <n v="64118"/>
    <n v="37967.980000000003"/>
    <n v="639"/>
    <x v="0"/>
    <x v="3"/>
    <n v="1680709.74"/>
    <s v="Active"/>
    <s v="Debit Only"/>
    <n v="0"/>
    <n v="60"/>
    <n v="4748.09"/>
    <n v="64.3"/>
    <x v="1"/>
    <x v="0"/>
    <x v="0"/>
    <n v="156"/>
    <x v="0"/>
  </r>
  <r>
    <x v="554"/>
    <n v="39"/>
    <s v="Female"/>
    <s v="Widowed"/>
    <x v="1"/>
    <s v="Branch-Southpark"/>
    <s v="Student"/>
    <s v="2026-02-19"/>
    <n v="0.4"/>
    <x v="1"/>
    <n v="5"/>
    <n v="98307.03"/>
    <n v="28758.71"/>
    <n v="713"/>
    <x v="1"/>
    <x v="4"/>
    <n v="1057293.1200000001"/>
    <s v="Closed"/>
    <s v="None"/>
    <n v="0"/>
    <n v="21"/>
    <n v="13247.14"/>
    <n v="88.5"/>
    <x v="0"/>
    <x v="2"/>
    <x v="2"/>
    <n v="281"/>
    <x v="0"/>
  </r>
  <r>
    <x v="555"/>
    <n v="21"/>
    <s v="Female"/>
    <s v="Widowed"/>
    <x v="1"/>
    <s v="Branch-Downtown"/>
    <s v="Retired"/>
    <s v="2022-06-19"/>
    <n v="4"/>
    <x v="0"/>
    <n v="2"/>
    <n v="124873.51"/>
    <n v="64041.61"/>
    <n v="618"/>
    <x v="0"/>
    <x v="1"/>
    <n v="0"/>
    <s v="N/A"/>
    <s v="Both"/>
    <n v="370920.98"/>
    <n v="16"/>
    <n v="8937.51"/>
    <n v="26.7"/>
    <x v="0"/>
    <x v="4"/>
    <x v="3"/>
    <n v="100"/>
    <x v="0"/>
  </r>
  <r>
    <x v="556"/>
    <n v="66"/>
    <s v="Male"/>
    <s v="Widowed"/>
    <x v="3"/>
    <s v="Branch-Greenfield"/>
    <s v="Salaried"/>
    <s v="2021-03-09"/>
    <n v="5.3"/>
    <x v="1"/>
    <n v="1"/>
    <n v="0"/>
    <n v="61048.14"/>
    <n v="606"/>
    <x v="0"/>
    <x v="1"/>
    <n v="0"/>
    <s v="N/A"/>
    <s v="Credit Only"/>
    <n v="92515.71"/>
    <n v="13"/>
    <n v="9692.11"/>
    <n v="26.4"/>
    <x v="1"/>
    <x v="1"/>
    <x v="1"/>
    <n v="380"/>
    <x v="0"/>
  </r>
  <r>
    <x v="557"/>
    <n v="63"/>
    <s v="Male"/>
    <s v="Widowed"/>
    <x v="2"/>
    <s v="Branch-Downtown"/>
    <s v="Student"/>
    <s v="2021-12-13"/>
    <n v="4.5"/>
    <x v="1"/>
    <n v="3"/>
    <n v="128519.67999999999"/>
    <n v="46003.82"/>
    <n v="669"/>
    <x v="0"/>
    <x v="3"/>
    <n v="521157.66"/>
    <s v="Active"/>
    <s v="Debit Only"/>
    <n v="0"/>
    <n v="15"/>
    <n v="2446.34"/>
    <n v="61.3"/>
    <x v="0"/>
    <x v="0"/>
    <x v="2"/>
    <n v="25"/>
    <x v="0"/>
  </r>
  <r>
    <x v="558"/>
    <n v="36"/>
    <s v="Male"/>
    <s v="Divorced"/>
    <x v="1"/>
    <s v="Branch-Harborview"/>
    <s v="Business Owner"/>
    <s v="2019-12-04"/>
    <n v="6.6"/>
    <x v="1"/>
    <n v="3"/>
    <n v="24628.6"/>
    <n v="30382.98"/>
    <n v="598"/>
    <x v="0"/>
    <x v="5"/>
    <n v="754604.58"/>
    <s v="Active"/>
    <s v="Credit Only"/>
    <n v="100398.83"/>
    <n v="60"/>
    <n v="5405.62"/>
    <n v="0.8"/>
    <x v="0"/>
    <x v="3"/>
    <x v="0"/>
    <n v="102"/>
    <x v="0"/>
  </r>
  <r>
    <x v="559"/>
    <n v="46"/>
    <s v="Female"/>
    <s v="Married"/>
    <x v="0"/>
    <s v="Branch-Greenfield"/>
    <s v="Self-Employed"/>
    <s v="2020-01-17"/>
    <n v="6.5"/>
    <x v="1"/>
    <n v="4"/>
    <n v="70437.83"/>
    <n v="39354.22"/>
    <n v="757"/>
    <x v="2"/>
    <x v="4"/>
    <n v="832622.34"/>
    <s v="Active"/>
    <s v="Both"/>
    <n v="26197.360000000001"/>
    <n v="11"/>
    <n v="3483.55"/>
    <n v="65.3"/>
    <x v="0"/>
    <x v="2"/>
    <x v="1"/>
    <n v="204"/>
    <x v="0"/>
  </r>
  <r>
    <x v="560"/>
    <n v="51"/>
    <s v="Female"/>
    <s v="Single"/>
    <x v="4"/>
    <s v="Branch-Westfield"/>
    <s v="Salaried"/>
    <s v="2020-01-20"/>
    <n v="6.4"/>
    <x v="0"/>
    <n v="3"/>
    <n v="53613.89"/>
    <n v="50852.800000000003"/>
    <n v="743"/>
    <x v="2"/>
    <x v="4"/>
    <n v="1977536.8"/>
    <s v="Active"/>
    <s v="Both"/>
    <n v="128958.88"/>
    <n v="39"/>
    <n v="4536.1499999999996"/>
    <n v="20.7"/>
    <x v="1"/>
    <x v="2"/>
    <x v="1"/>
    <n v="91"/>
    <x v="0"/>
  </r>
  <r>
    <x v="561"/>
    <n v="77"/>
    <s v="Female"/>
    <s v="Divorced"/>
    <x v="4"/>
    <s v="Branch-Hillcrest"/>
    <s v="Salaried"/>
    <s v="2025-05-21"/>
    <n v="1.1000000000000001"/>
    <x v="1"/>
    <n v="5"/>
    <n v="114741.94"/>
    <n v="48094.84"/>
    <n v="604"/>
    <x v="0"/>
    <x v="4"/>
    <n v="417435.91"/>
    <s v="Active"/>
    <s v="Both"/>
    <n v="195233.49"/>
    <n v="17"/>
    <n v="11970.31"/>
    <n v="92.6"/>
    <x v="1"/>
    <x v="4"/>
    <x v="0"/>
    <n v="248"/>
    <x v="0"/>
  </r>
  <r>
    <x v="562"/>
    <n v="21"/>
    <s v="Female"/>
    <s v="Married"/>
    <x v="2"/>
    <s v="Branch-Oakridge"/>
    <s v="Student"/>
    <s v="2023-02-24"/>
    <n v="3.3"/>
    <x v="0"/>
    <n v="5"/>
    <n v="43249.1"/>
    <n v="72168.649999999994"/>
    <n v="709"/>
    <x v="1"/>
    <x v="0"/>
    <n v="718892.13"/>
    <s v="Closed"/>
    <s v="Both"/>
    <n v="155383.59"/>
    <n v="14"/>
    <n v="3796.5"/>
    <n v="85.8"/>
    <x v="0"/>
    <x v="1"/>
    <x v="4"/>
    <n v="312"/>
    <x v="0"/>
  </r>
  <r>
    <x v="563"/>
    <n v="55"/>
    <s v="Female"/>
    <s v="Widowed"/>
    <x v="3"/>
    <s v="Branch-Downtown"/>
    <s v="Student"/>
    <s v="2025-06-11"/>
    <n v="1.1000000000000001"/>
    <x v="0"/>
    <n v="3"/>
    <n v="62376.1"/>
    <n v="8000"/>
    <n v="670"/>
    <x v="1"/>
    <x v="2"/>
    <n v="706683.47"/>
    <s v="Active"/>
    <s v="Credit Only"/>
    <n v="431925.14"/>
    <n v="48"/>
    <n v="4320.13"/>
    <n v="81.7"/>
    <x v="1"/>
    <x v="1"/>
    <x v="1"/>
    <n v="125"/>
    <x v="0"/>
  </r>
  <r>
    <x v="564"/>
    <n v="20"/>
    <s v="Male"/>
    <s v="Divorced"/>
    <x v="0"/>
    <s v="Branch-Eastwood"/>
    <s v="Freelancer"/>
    <s v="2025-12-07"/>
    <n v="0.6"/>
    <x v="3"/>
    <n v="4"/>
    <n v="72847.44"/>
    <n v="25285.78"/>
    <n v="773"/>
    <x v="2"/>
    <x v="4"/>
    <n v="337900.66"/>
    <s v="Closed"/>
    <s v="Debit Only"/>
    <n v="0"/>
    <n v="12"/>
    <n v="11539.97"/>
    <n v="43.4"/>
    <x v="2"/>
    <x v="2"/>
    <x v="4"/>
    <n v="93"/>
    <x v="0"/>
  </r>
  <r>
    <x v="565"/>
    <n v="69"/>
    <s v="Female"/>
    <s v="Single"/>
    <x v="3"/>
    <s v="Branch-Eastwood"/>
    <s v="Student"/>
    <s v="2023-06-10"/>
    <n v="3.1"/>
    <x v="2"/>
    <n v="4"/>
    <n v="32214.720000000001"/>
    <n v="53933.27"/>
    <n v="806"/>
    <x v="3"/>
    <x v="4"/>
    <n v="657846.03"/>
    <s v="Active"/>
    <s v="Credit Only"/>
    <n v="446808.62"/>
    <n v="24"/>
    <n v="736.73"/>
    <n v="86.8"/>
    <x v="0"/>
    <x v="3"/>
    <x v="4"/>
    <n v="377"/>
    <x v="0"/>
  </r>
  <r>
    <x v="566"/>
    <n v="38"/>
    <s v="Male"/>
    <s v="Married"/>
    <x v="0"/>
    <s v="Branch-Eastwood"/>
    <s v="Salaried"/>
    <s v="2025-07-27"/>
    <n v="0.9"/>
    <x v="3"/>
    <n v="2"/>
    <n v="1254.54"/>
    <n v="11969.91"/>
    <n v="743"/>
    <x v="2"/>
    <x v="1"/>
    <n v="0"/>
    <s v="N/A"/>
    <s v="Credit Only"/>
    <n v="93987.51"/>
    <n v="55"/>
    <n v="1751.79"/>
    <n v="16.899999999999999"/>
    <x v="1"/>
    <x v="4"/>
    <x v="4"/>
    <n v="295"/>
    <x v="0"/>
  </r>
  <r>
    <x v="567"/>
    <n v="59"/>
    <s v="Female"/>
    <s v="Single"/>
    <x v="0"/>
    <s v="Branch-Midtown"/>
    <s v="Freelancer"/>
    <s v="2026-04-26"/>
    <n v="0.2"/>
    <x v="3"/>
    <n v="5"/>
    <n v="50634.22"/>
    <n v="38304.019999999997"/>
    <n v="677"/>
    <x v="1"/>
    <x v="1"/>
    <n v="0"/>
    <s v="N/A"/>
    <s v="None"/>
    <n v="0"/>
    <n v="37"/>
    <n v="9373.86"/>
    <n v="59.9"/>
    <x v="1"/>
    <x v="4"/>
    <x v="1"/>
    <n v="9"/>
    <x v="0"/>
  </r>
  <r>
    <x v="568"/>
    <n v="32"/>
    <s v="Female"/>
    <s v="Divorced"/>
    <x v="0"/>
    <s v="Branch-Oakridge"/>
    <s v="Salaried"/>
    <s v="2020-11-29"/>
    <n v="5.6"/>
    <x v="0"/>
    <n v="2"/>
    <n v="74526.98"/>
    <n v="33791.75"/>
    <n v="822"/>
    <x v="3"/>
    <x v="5"/>
    <n v="1744527.27"/>
    <s v="Active"/>
    <s v="None"/>
    <n v="0"/>
    <n v="43"/>
    <n v="11484.2"/>
    <n v="21.1"/>
    <x v="0"/>
    <x v="3"/>
    <x v="4"/>
    <n v="20"/>
    <x v="0"/>
  </r>
  <r>
    <x v="569"/>
    <n v="29"/>
    <s v="Female"/>
    <s v="Married"/>
    <x v="4"/>
    <s v="Branch-Downtown"/>
    <s v="Student"/>
    <s v="2021-12-19"/>
    <n v="4.5"/>
    <x v="2"/>
    <n v="1"/>
    <n v="39725.43"/>
    <n v="56120.81"/>
    <n v="669"/>
    <x v="0"/>
    <x v="1"/>
    <n v="0"/>
    <s v="N/A"/>
    <s v="Credit Only"/>
    <n v="191235.34"/>
    <n v="57"/>
    <n v="5127.95"/>
    <n v="95.4"/>
    <x v="2"/>
    <x v="1"/>
    <x v="4"/>
    <n v="399"/>
    <x v="0"/>
  </r>
  <r>
    <x v="570"/>
    <n v="50"/>
    <s v="Male"/>
    <s v="Married"/>
    <x v="1"/>
    <s v="Branch-Westfield"/>
    <s v="Freelancer"/>
    <s v="2019-07-19"/>
    <n v="7"/>
    <x v="1"/>
    <n v="4"/>
    <n v="82612.53"/>
    <n v="36857.24"/>
    <n v="754"/>
    <x v="2"/>
    <x v="5"/>
    <n v="526865.01"/>
    <s v="Active"/>
    <s v="None"/>
    <n v="0"/>
    <n v="32"/>
    <n v="5496.22"/>
    <n v="74.3"/>
    <x v="1"/>
    <x v="2"/>
    <x v="1"/>
    <n v="232"/>
    <x v="0"/>
  </r>
  <r>
    <x v="571"/>
    <n v="18"/>
    <s v="Female"/>
    <s v="Single"/>
    <x v="2"/>
    <s v="Branch-Northgate"/>
    <s v="Salaried"/>
    <s v="2022-12-27"/>
    <n v="3.5"/>
    <x v="0"/>
    <n v="1"/>
    <n v="36386.86"/>
    <n v="55191.02"/>
    <n v="726"/>
    <x v="1"/>
    <x v="2"/>
    <n v="1528166.39"/>
    <s v="Closed"/>
    <s v="None"/>
    <n v="0"/>
    <n v="15"/>
    <n v="817.28"/>
    <n v="6.5"/>
    <x v="0"/>
    <x v="4"/>
    <x v="0"/>
    <n v="399"/>
    <x v="0"/>
  </r>
  <r>
    <x v="572"/>
    <n v="31"/>
    <s v="Female"/>
    <s v="Single"/>
    <x v="2"/>
    <s v="Branch-Riverside"/>
    <s v="Salaried"/>
    <s v="2022-12-15"/>
    <n v="3.5"/>
    <x v="1"/>
    <n v="1"/>
    <n v="20578.84"/>
    <n v="31032.39"/>
    <n v="723"/>
    <x v="1"/>
    <x v="1"/>
    <n v="0"/>
    <s v="N/A"/>
    <s v="Credit Only"/>
    <n v="184960.72"/>
    <n v="35"/>
    <n v="6232.33"/>
    <n v="58.6"/>
    <x v="0"/>
    <x v="4"/>
    <x v="1"/>
    <n v="81"/>
    <x v="0"/>
  </r>
  <r>
    <x v="573"/>
    <n v="62"/>
    <s v="Female"/>
    <s v="Married"/>
    <x v="1"/>
    <s v="Branch-Southpark"/>
    <s v="Salaried"/>
    <s v="2018-09-01"/>
    <n v="7.8"/>
    <x v="2"/>
    <n v="3"/>
    <n v="110175.76"/>
    <n v="39717.61"/>
    <n v="727"/>
    <x v="1"/>
    <x v="3"/>
    <n v="790558.61"/>
    <s v="Closed"/>
    <s v="Credit Only"/>
    <n v="223328.89"/>
    <n v="52"/>
    <n v="13956.28"/>
    <n v="37.9"/>
    <x v="4"/>
    <x v="3"/>
    <x v="4"/>
    <n v="309"/>
    <x v="0"/>
  </r>
  <r>
    <x v="574"/>
    <n v="33"/>
    <s v="Male"/>
    <s v="Divorced"/>
    <x v="4"/>
    <s v="Branch-Oakridge"/>
    <s v="Salaried"/>
    <s v="2019-08-22"/>
    <n v="6.9"/>
    <x v="4"/>
    <n v="4"/>
    <n v="121176.73"/>
    <n v="8000"/>
    <n v="773"/>
    <x v="2"/>
    <x v="1"/>
    <n v="0"/>
    <s v="N/A"/>
    <s v="Both"/>
    <n v="422556.39"/>
    <n v="22"/>
    <n v="7876.92"/>
    <n v="17.8"/>
    <x v="1"/>
    <x v="2"/>
    <x v="1"/>
    <n v="171"/>
    <x v="0"/>
  </r>
  <r>
    <x v="575"/>
    <n v="54"/>
    <s v="Female"/>
    <s v="Single"/>
    <x v="2"/>
    <s v="Branch-Downtown"/>
    <s v="Retired"/>
    <s v="2024-08-07"/>
    <n v="1.9"/>
    <x v="1"/>
    <n v="4"/>
    <n v="5284.94"/>
    <n v="36119.160000000003"/>
    <n v="759"/>
    <x v="2"/>
    <x v="1"/>
    <n v="0"/>
    <s v="N/A"/>
    <s v="Credit Only"/>
    <n v="455490.64"/>
    <n v="26"/>
    <n v="6957.55"/>
    <n v="22.3"/>
    <x v="0"/>
    <x v="2"/>
    <x v="4"/>
    <n v="56"/>
    <x v="0"/>
  </r>
  <r>
    <x v="576"/>
    <n v="55"/>
    <s v="Male"/>
    <s v="Married"/>
    <x v="0"/>
    <s v="Branch-Downtown"/>
    <s v="Student"/>
    <s v="2021-03-09"/>
    <n v="5.3"/>
    <x v="1"/>
    <n v="3"/>
    <n v="63322.36"/>
    <n v="46681.43"/>
    <n v="722"/>
    <x v="1"/>
    <x v="3"/>
    <n v="775635.68"/>
    <s v="Active"/>
    <s v="Debit Only"/>
    <n v="0"/>
    <n v="54"/>
    <n v="10374.92"/>
    <n v="47.2"/>
    <x v="1"/>
    <x v="2"/>
    <x v="2"/>
    <n v="259"/>
    <x v="0"/>
  </r>
  <r>
    <x v="577"/>
    <n v="70"/>
    <s v="Male"/>
    <s v="Married"/>
    <x v="0"/>
    <s v="Branch-Westfield"/>
    <s v="Business Owner"/>
    <s v="2020-09-17"/>
    <n v="5.8"/>
    <x v="1"/>
    <n v="1"/>
    <n v="0"/>
    <n v="87896.33"/>
    <n v="710"/>
    <x v="1"/>
    <x v="3"/>
    <n v="620566.54"/>
    <s v="Active"/>
    <s v="Credit Only"/>
    <n v="330339.90000000002"/>
    <n v="41"/>
    <n v="2027.18"/>
    <n v="93.2"/>
    <x v="0"/>
    <x v="3"/>
    <x v="1"/>
    <n v="134"/>
    <x v="1"/>
  </r>
  <r>
    <x v="578"/>
    <n v="49"/>
    <s v="Female"/>
    <s v="Single"/>
    <x v="3"/>
    <s v="Branch-Hillcrest"/>
    <s v="Business Owner"/>
    <s v="2020-07-01"/>
    <n v="6"/>
    <x v="4"/>
    <n v="2"/>
    <n v="0"/>
    <n v="42186.74"/>
    <n v="664"/>
    <x v="0"/>
    <x v="0"/>
    <n v="2337341.7400000002"/>
    <s v="Active"/>
    <s v="Both"/>
    <n v="140298.29999999999"/>
    <n v="35"/>
    <n v="8125.22"/>
    <n v="78.599999999999994"/>
    <x v="1"/>
    <x v="1"/>
    <x v="4"/>
    <n v="124"/>
    <x v="0"/>
  </r>
  <r>
    <x v="579"/>
    <n v="26"/>
    <s v="Male"/>
    <s v="Divorced"/>
    <x v="0"/>
    <s v="Branch-Northgate"/>
    <s v="Retired"/>
    <s v="2023-01-06"/>
    <n v="3.5"/>
    <x v="2"/>
    <n v="2"/>
    <n v="29677.66"/>
    <n v="21472.42"/>
    <n v="817"/>
    <x v="3"/>
    <x v="1"/>
    <n v="0"/>
    <s v="N/A"/>
    <s v="Credit Only"/>
    <n v="137622.57"/>
    <n v="57"/>
    <n v="2986.79"/>
    <n v="46.3"/>
    <x v="2"/>
    <x v="1"/>
    <x v="2"/>
    <n v="231"/>
    <x v="0"/>
  </r>
  <r>
    <x v="580"/>
    <n v="74"/>
    <s v="Male"/>
    <s v="Widowed"/>
    <x v="0"/>
    <s v="Branch-Lakeview"/>
    <s v="Self-Employed"/>
    <s v="2024-07-16"/>
    <n v="2"/>
    <x v="1"/>
    <n v="2"/>
    <n v="45680.91"/>
    <n v="44792.73"/>
    <n v="757"/>
    <x v="2"/>
    <x v="2"/>
    <n v="1529160.08"/>
    <s v="Closed"/>
    <s v="Debit Only"/>
    <n v="0"/>
    <n v="20"/>
    <n v="11785.91"/>
    <n v="61"/>
    <x v="2"/>
    <x v="3"/>
    <x v="3"/>
    <n v="87"/>
    <x v="1"/>
  </r>
  <r>
    <x v="581"/>
    <n v="21"/>
    <s v="Male"/>
    <s v="Divorced"/>
    <x v="0"/>
    <s v="Branch-Riverside"/>
    <s v="Business Owner"/>
    <s v="2025-07-09"/>
    <n v="1"/>
    <x v="2"/>
    <n v="4"/>
    <n v="21019.02"/>
    <n v="30075.360000000001"/>
    <n v="753"/>
    <x v="2"/>
    <x v="1"/>
    <n v="0"/>
    <s v="N/A"/>
    <s v="Both"/>
    <n v="334643.15999999997"/>
    <n v="21"/>
    <n v="10458.780000000001"/>
    <n v="26.5"/>
    <x v="4"/>
    <x v="3"/>
    <x v="3"/>
    <n v="268"/>
    <x v="0"/>
  </r>
  <r>
    <x v="582"/>
    <n v="26"/>
    <s v="Male"/>
    <s v="Single"/>
    <x v="1"/>
    <s v="Branch-Lakeview"/>
    <s v="Salaried"/>
    <s v="2020-06-16"/>
    <n v="6"/>
    <x v="1"/>
    <n v="4"/>
    <n v="121541.6"/>
    <n v="93573.75"/>
    <n v="850"/>
    <x v="3"/>
    <x v="1"/>
    <n v="0"/>
    <s v="N/A"/>
    <s v="Credit Only"/>
    <n v="169481.88"/>
    <n v="38"/>
    <n v="4088.88"/>
    <n v="22.1"/>
    <x v="1"/>
    <x v="4"/>
    <x v="4"/>
    <n v="366"/>
    <x v="0"/>
  </r>
  <r>
    <x v="583"/>
    <n v="46"/>
    <s v="Female"/>
    <s v="Single"/>
    <x v="4"/>
    <s v="Branch-Northgate"/>
    <s v="Retired"/>
    <s v="2019-12-02"/>
    <n v="6.6"/>
    <x v="1"/>
    <n v="1"/>
    <n v="39432.83"/>
    <n v="28564.080000000002"/>
    <n v="785"/>
    <x v="2"/>
    <x v="0"/>
    <n v="746806.95"/>
    <s v="Active"/>
    <s v="None"/>
    <n v="0"/>
    <n v="25"/>
    <n v="8856.2000000000007"/>
    <n v="46.6"/>
    <x v="4"/>
    <x v="0"/>
    <x v="1"/>
    <n v="11"/>
    <x v="0"/>
  </r>
  <r>
    <x v="584"/>
    <n v="41"/>
    <s v="Male"/>
    <s v="Single"/>
    <x v="2"/>
    <s v="Branch-Southpark"/>
    <s v="Freelancer"/>
    <s v="2020-09-27"/>
    <n v="5.8"/>
    <x v="2"/>
    <n v="2"/>
    <n v="0"/>
    <n v="36613.9"/>
    <n v="738"/>
    <x v="1"/>
    <x v="1"/>
    <n v="0"/>
    <s v="N/A"/>
    <s v="Debit Only"/>
    <n v="0"/>
    <n v="58"/>
    <n v="1288.28"/>
    <n v="48.2"/>
    <x v="0"/>
    <x v="2"/>
    <x v="1"/>
    <n v="240"/>
    <x v="0"/>
  </r>
  <r>
    <x v="585"/>
    <n v="18"/>
    <s v="Female"/>
    <s v="Widowed"/>
    <x v="4"/>
    <s v="Branch-Oakridge"/>
    <s v="Self-Employed"/>
    <s v="2018-05-30"/>
    <n v="8.1"/>
    <x v="2"/>
    <n v="4"/>
    <n v="82862.86"/>
    <n v="41336.519999999997"/>
    <n v="523"/>
    <x v="4"/>
    <x v="2"/>
    <n v="1402849.03"/>
    <s v="Closed"/>
    <s v="Both"/>
    <n v="460726.74"/>
    <n v="26"/>
    <n v="9837.4500000000007"/>
    <n v="64.900000000000006"/>
    <x v="1"/>
    <x v="3"/>
    <x v="1"/>
    <n v="263"/>
    <x v="0"/>
  </r>
  <r>
    <x v="586"/>
    <n v="41"/>
    <s v="Male"/>
    <s v="Divorced"/>
    <x v="4"/>
    <s v="Branch-Southpark"/>
    <s v="Business Owner"/>
    <s v="2018-10-05"/>
    <n v="7.7"/>
    <x v="1"/>
    <n v="3"/>
    <n v="62982.37"/>
    <n v="45425.25"/>
    <n v="521"/>
    <x v="4"/>
    <x v="1"/>
    <n v="0"/>
    <s v="N/A"/>
    <s v="Debit Only"/>
    <n v="0"/>
    <n v="13"/>
    <n v="7678.83"/>
    <n v="32.9"/>
    <x v="2"/>
    <x v="0"/>
    <x v="4"/>
    <n v="136"/>
    <x v="0"/>
  </r>
  <r>
    <x v="587"/>
    <n v="72"/>
    <s v="Male"/>
    <s v="Widowed"/>
    <x v="1"/>
    <s v="Branch-Riverside"/>
    <s v="Salaried"/>
    <s v="2022-06-25"/>
    <n v="4"/>
    <x v="0"/>
    <n v="5"/>
    <n v="40847.43"/>
    <n v="77555.839999999997"/>
    <n v="505"/>
    <x v="4"/>
    <x v="1"/>
    <n v="0"/>
    <s v="N/A"/>
    <s v="Credit Only"/>
    <n v="288410.07"/>
    <n v="57"/>
    <n v="1906.59"/>
    <n v="80.7"/>
    <x v="1"/>
    <x v="3"/>
    <x v="0"/>
    <n v="88"/>
    <x v="0"/>
  </r>
  <r>
    <x v="588"/>
    <n v="55"/>
    <s v="Male"/>
    <s v="Divorced"/>
    <x v="4"/>
    <s v="Branch-Hillcrest"/>
    <s v="Salaried"/>
    <s v="2020-02-29"/>
    <n v="6.3"/>
    <x v="2"/>
    <n v="2"/>
    <n v="0"/>
    <n v="26271.31"/>
    <n v="534"/>
    <x v="4"/>
    <x v="4"/>
    <n v="2035984.92"/>
    <s v="Closed"/>
    <s v="Credit Only"/>
    <n v="167908.15"/>
    <n v="9"/>
    <n v="14977.45"/>
    <n v="70.5"/>
    <x v="2"/>
    <x v="4"/>
    <x v="1"/>
    <n v="33"/>
    <x v="0"/>
  </r>
  <r>
    <x v="589"/>
    <n v="69"/>
    <s v="Female"/>
    <s v="Widowed"/>
    <x v="0"/>
    <s v="Branch-Northgate"/>
    <s v="Student"/>
    <s v="2022-11-25"/>
    <n v="3.6"/>
    <x v="0"/>
    <n v="1"/>
    <n v="50902.63"/>
    <n v="72638.960000000006"/>
    <n v="661"/>
    <x v="0"/>
    <x v="1"/>
    <n v="0"/>
    <s v="N/A"/>
    <s v="Credit Only"/>
    <n v="205482.47"/>
    <n v="52"/>
    <n v="3693.49"/>
    <n v="79.8"/>
    <x v="0"/>
    <x v="2"/>
    <x v="1"/>
    <n v="23"/>
    <x v="0"/>
  </r>
  <r>
    <x v="590"/>
    <n v="25"/>
    <s v="Female"/>
    <s v="Divorced"/>
    <x v="2"/>
    <s v="Branch-Harborview"/>
    <s v="Business Owner"/>
    <s v="2024-08-08"/>
    <n v="1.9"/>
    <x v="1"/>
    <n v="4"/>
    <n v="2827.14"/>
    <n v="54362.23"/>
    <n v="778"/>
    <x v="2"/>
    <x v="4"/>
    <n v="2165113.16"/>
    <s v="Closed"/>
    <s v="None"/>
    <n v="0"/>
    <n v="27"/>
    <n v="9191.69"/>
    <n v="43.7"/>
    <x v="0"/>
    <x v="2"/>
    <x v="1"/>
    <n v="366"/>
    <x v="1"/>
  </r>
  <r>
    <x v="591"/>
    <n v="60"/>
    <s v="Male"/>
    <s v="Widowed"/>
    <x v="0"/>
    <s v="Branch-Downtown"/>
    <s v="Student"/>
    <s v="2024-02-25"/>
    <n v="2.2999999999999998"/>
    <x v="4"/>
    <n v="4"/>
    <n v="49160.94"/>
    <n v="63910.94"/>
    <n v="741"/>
    <x v="2"/>
    <x v="0"/>
    <n v="2281568.3199999998"/>
    <s v="Active"/>
    <s v="Both"/>
    <n v="391351.21"/>
    <n v="12"/>
    <n v="7218.66"/>
    <n v="36.4"/>
    <x v="3"/>
    <x v="3"/>
    <x v="2"/>
    <n v="356"/>
    <x v="0"/>
  </r>
  <r>
    <x v="592"/>
    <n v="40"/>
    <s v="Male"/>
    <s v="Married"/>
    <x v="2"/>
    <s v="Branch-Greenfield"/>
    <s v="Business Owner"/>
    <s v="2020-07-10"/>
    <n v="6"/>
    <x v="3"/>
    <n v="5"/>
    <n v="0"/>
    <n v="96876.04"/>
    <n v="850"/>
    <x v="3"/>
    <x v="1"/>
    <n v="0"/>
    <s v="N/A"/>
    <s v="Debit Only"/>
    <n v="0"/>
    <n v="59"/>
    <n v="4207.63"/>
    <n v="20"/>
    <x v="1"/>
    <x v="1"/>
    <x v="2"/>
    <n v="266"/>
    <x v="0"/>
  </r>
  <r>
    <x v="593"/>
    <n v="57"/>
    <s v="Male"/>
    <s v="Widowed"/>
    <x v="2"/>
    <s v="Branch-Westfield"/>
    <s v="Self-Employed"/>
    <s v="2022-09-08"/>
    <n v="3.8"/>
    <x v="1"/>
    <n v="1"/>
    <n v="100770.3"/>
    <n v="78011.19"/>
    <n v="736"/>
    <x v="1"/>
    <x v="5"/>
    <n v="1529679.83"/>
    <s v="Active"/>
    <s v="Both"/>
    <n v="365547.92"/>
    <n v="60"/>
    <n v="8959.7900000000009"/>
    <n v="87.4"/>
    <x v="2"/>
    <x v="2"/>
    <x v="2"/>
    <n v="190"/>
    <x v="0"/>
  </r>
  <r>
    <x v="594"/>
    <n v="47"/>
    <s v="Male"/>
    <s v="Married"/>
    <x v="1"/>
    <s v="Branch-Riverside"/>
    <s v="Business Owner"/>
    <s v="2025-08-13"/>
    <n v="0.9"/>
    <x v="0"/>
    <n v="3"/>
    <n v="32821.61"/>
    <n v="82376.87"/>
    <n v="767"/>
    <x v="2"/>
    <x v="5"/>
    <n v="1849460.66"/>
    <s v="Closed"/>
    <s v="Debit Only"/>
    <n v="0"/>
    <n v="41"/>
    <n v="13142.68"/>
    <n v="20.8"/>
    <x v="0"/>
    <x v="2"/>
    <x v="4"/>
    <n v="289"/>
    <x v="0"/>
  </r>
  <r>
    <x v="595"/>
    <n v="42"/>
    <s v="Female"/>
    <s v="Single"/>
    <x v="2"/>
    <s v="Branch-Oakridge"/>
    <s v="Retired"/>
    <s v="2019-08-11"/>
    <n v="6.9"/>
    <x v="2"/>
    <n v="1"/>
    <n v="98310.53"/>
    <n v="49314.65"/>
    <n v="544"/>
    <x v="4"/>
    <x v="1"/>
    <n v="0"/>
    <s v="N/A"/>
    <s v="Debit Only"/>
    <n v="0"/>
    <n v="51"/>
    <n v="518.96"/>
    <n v="70.8"/>
    <x v="0"/>
    <x v="2"/>
    <x v="1"/>
    <n v="60"/>
    <x v="1"/>
  </r>
  <r>
    <x v="596"/>
    <n v="33"/>
    <s v="Male"/>
    <s v="Married"/>
    <x v="1"/>
    <s v="Branch-Hillcrest"/>
    <s v="Self-Employed"/>
    <s v="2019-05-07"/>
    <n v="7.2"/>
    <x v="1"/>
    <n v="1"/>
    <n v="81424.75"/>
    <n v="34400.230000000003"/>
    <n v="691"/>
    <x v="1"/>
    <x v="3"/>
    <n v="1548950.35"/>
    <s v="Active"/>
    <s v="Credit Only"/>
    <n v="337169.82"/>
    <n v="56"/>
    <n v="6791.72"/>
    <n v="10.199999999999999"/>
    <x v="2"/>
    <x v="2"/>
    <x v="3"/>
    <n v="326"/>
    <x v="1"/>
  </r>
  <r>
    <x v="597"/>
    <n v="35"/>
    <s v="Male"/>
    <s v="Married"/>
    <x v="1"/>
    <s v="Branch-Midtown"/>
    <s v="Self-Employed"/>
    <s v="2021-01-11"/>
    <n v="5.5"/>
    <x v="1"/>
    <n v="4"/>
    <n v="0"/>
    <n v="37690.800000000003"/>
    <n v="681"/>
    <x v="1"/>
    <x v="5"/>
    <n v="1312971.0900000001"/>
    <s v="Active"/>
    <s v="Debit Only"/>
    <n v="0"/>
    <n v="6"/>
    <n v="11248.96"/>
    <n v="3.7"/>
    <x v="0"/>
    <x v="3"/>
    <x v="4"/>
    <n v="37"/>
    <x v="0"/>
  </r>
  <r>
    <x v="598"/>
    <n v="78"/>
    <s v="Male"/>
    <s v="Single"/>
    <x v="2"/>
    <s v="Branch-Westfield"/>
    <s v="Salaried"/>
    <s v="2021-02-13"/>
    <n v="5.4"/>
    <x v="2"/>
    <n v="2"/>
    <n v="0"/>
    <n v="41814.160000000003"/>
    <n v="560"/>
    <x v="4"/>
    <x v="3"/>
    <n v="2421271.7200000002"/>
    <s v="Closed"/>
    <s v="Credit Only"/>
    <n v="376647.06"/>
    <n v="15"/>
    <n v="12097.7"/>
    <n v="23.5"/>
    <x v="0"/>
    <x v="0"/>
    <x v="4"/>
    <n v="169"/>
    <x v="1"/>
  </r>
  <r>
    <x v="599"/>
    <n v="34"/>
    <s v="Female"/>
    <s v="Single"/>
    <x v="2"/>
    <s v="Branch-Lakeview"/>
    <s v="Business Owner"/>
    <s v="2023-03-22"/>
    <n v="3.3"/>
    <x v="1"/>
    <n v="3"/>
    <n v="7298.75"/>
    <n v="38417.67"/>
    <n v="656"/>
    <x v="0"/>
    <x v="2"/>
    <n v="1224157.27"/>
    <s v="Active"/>
    <s v="Both"/>
    <n v="24225.54"/>
    <n v="43"/>
    <n v="4832.24"/>
    <n v="3.1"/>
    <x v="1"/>
    <x v="4"/>
    <x v="4"/>
    <n v="54"/>
    <x v="0"/>
  </r>
  <r>
    <x v="600"/>
    <n v="71"/>
    <s v="Female"/>
    <s v="Married"/>
    <x v="0"/>
    <s v="Branch-Riverside"/>
    <s v="Self-Employed"/>
    <s v="2019-10-10"/>
    <n v="6.7"/>
    <x v="1"/>
    <n v="5"/>
    <n v="0"/>
    <n v="26301.15"/>
    <n v="702"/>
    <x v="1"/>
    <x v="1"/>
    <n v="0"/>
    <s v="N/A"/>
    <s v="None"/>
    <n v="0"/>
    <n v="55"/>
    <n v="10117.68"/>
    <n v="4.2"/>
    <x v="0"/>
    <x v="2"/>
    <x v="1"/>
    <n v="74"/>
    <x v="0"/>
  </r>
  <r>
    <x v="601"/>
    <n v="41"/>
    <s v="Female"/>
    <s v="Married"/>
    <x v="2"/>
    <s v="Branch-Hillcrest"/>
    <s v="Student"/>
    <s v="2025-09-07"/>
    <n v="0.8"/>
    <x v="2"/>
    <n v="5"/>
    <n v="49824.07"/>
    <n v="36345.85"/>
    <n v="669"/>
    <x v="0"/>
    <x v="1"/>
    <n v="0"/>
    <s v="N/A"/>
    <s v="Debit Only"/>
    <n v="0"/>
    <n v="46"/>
    <n v="556.54"/>
    <n v="97.1"/>
    <x v="3"/>
    <x v="2"/>
    <x v="1"/>
    <n v="37"/>
    <x v="0"/>
  </r>
  <r>
    <x v="602"/>
    <n v="48"/>
    <s v="Male"/>
    <s v="Single"/>
    <x v="2"/>
    <s v="Branch-Lakeview"/>
    <s v="Freelancer"/>
    <s v="2023-11-19"/>
    <n v="2.6"/>
    <x v="1"/>
    <n v="2"/>
    <n v="34839.050000000003"/>
    <n v="53037.39"/>
    <n v="539"/>
    <x v="4"/>
    <x v="1"/>
    <n v="0"/>
    <s v="N/A"/>
    <s v="None"/>
    <n v="0"/>
    <n v="40"/>
    <n v="6793.54"/>
    <n v="89.2"/>
    <x v="0"/>
    <x v="4"/>
    <x v="1"/>
    <n v="232"/>
    <x v="0"/>
  </r>
  <r>
    <x v="603"/>
    <n v="45"/>
    <s v="Male"/>
    <s v="Single"/>
    <x v="0"/>
    <s v="Branch-Greenfield"/>
    <s v="Self-Employed"/>
    <s v="2019-12-14"/>
    <n v="6.5"/>
    <x v="1"/>
    <n v="5"/>
    <n v="34836.58"/>
    <n v="62132.63"/>
    <n v="582"/>
    <x v="0"/>
    <x v="1"/>
    <n v="0"/>
    <s v="N/A"/>
    <s v="None"/>
    <n v="0"/>
    <n v="56"/>
    <n v="5408.59"/>
    <n v="37.1"/>
    <x v="0"/>
    <x v="2"/>
    <x v="2"/>
    <n v="179"/>
    <x v="0"/>
  </r>
  <r>
    <x v="604"/>
    <n v="73"/>
    <s v="Male"/>
    <s v="Divorced"/>
    <x v="0"/>
    <s v="Branch-Harborview"/>
    <s v="Student"/>
    <s v="2024-05-10"/>
    <n v="2.1"/>
    <x v="1"/>
    <n v="3"/>
    <n v="65968.88"/>
    <n v="33153.879999999997"/>
    <n v="602"/>
    <x v="0"/>
    <x v="5"/>
    <n v="2459591.7599999998"/>
    <s v="Active"/>
    <s v="None"/>
    <n v="0"/>
    <n v="53"/>
    <n v="10603.13"/>
    <n v="17.899999999999999"/>
    <x v="1"/>
    <x v="3"/>
    <x v="0"/>
    <n v="38"/>
    <x v="0"/>
  </r>
  <r>
    <x v="605"/>
    <n v="56"/>
    <s v="Female"/>
    <s v="Married"/>
    <x v="3"/>
    <s v="Branch-Greenfield"/>
    <s v="Salaried"/>
    <s v="2020-09-29"/>
    <n v="5.8"/>
    <x v="1"/>
    <n v="4"/>
    <n v="0"/>
    <n v="48594.43"/>
    <n v="772"/>
    <x v="2"/>
    <x v="3"/>
    <n v="1436449.5"/>
    <s v="Active"/>
    <s v="Credit Only"/>
    <n v="467284.42"/>
    <n v="20"/>
    <n v="4196.42"/>
    <n v="12.6"/>
    <x v="0"/>
    <x v="4"/>
    <x v="4"/>
    <n v="278"/>
    <x v="0"/>
  </r>
  <r>
    <x v="606"/>
    <n v="53"/>
    <s v="Female"/>
    <s v="Divorced"/>
    <x v="3"/>
    <s v="Branch-Harborview"/>
    <s v="Freelancer"/>
    <s v="2018-10-05"/>
    <n v="7.7"/>
    <x v="1"/>
    <n v="4"/>
    <n v="0"/>
    <n v="31528.6"/>
    <n v="713"/>
    <x v="1"/>
    <x v="4"/>
    <n v="2242995.73"/>
    <s v="Closed"/>
    <s v="None"/>
    <n v="0"/>
    <n v="41"/>
    <n v="434.81"/>
    <n v="48.8"/>
    <x v="2"/>
    <x v="1"/>
    <x v="4"/>
    <n v="311"/>
    <x v="0"/>
  </r>
  <r>
    <x v="607"/>
    <n v="20"/>
    <s v="Male"/>
    <s v="Married"/>
    <x v="1"/>
    <s v="Branch-Greenfield"/>
    <s v="Self-Employed"/>
    <s v="2019-10-19"/>
    <n v="6.7"/>
    <x v="0"/>
    <n v="1"/>
    <n v="39473.43"/>
    <n v="56806.69"/>
    <n v="749"/>
    <x v="2"/>
    <x v="5"/>
    <n v="2144194.85"/>
    <s v="Active"/>
    <s v="None"/>
    <n v="0"/>
    <n v="39"/>
    <n v="10114.89"/>
    <n v="8.3000000000000007"/>
    <x v="0"/>
    <x v="0"/>
    <x v="4"/>
    <n v="371"/>
    <x v="1"/>
  </r>
  <r>
    <x v="608"/>
    <n v="38"/>
    <s v="Female"/>
    <s v="Divorced"/>
    <x v="4"/>
    <s v="Branch-Lakeview"/>
    <s v="Student"/>
    <s v="2022-11-19"/>
    <n v="3.6"/>
    <x v="4"/>
    <n v="4"/>
    <n v="33004.67"/>
    <n v="26262.880000000001"/>
    <n v="558"/>
    <x v="4"/>
    <x v="1"/>
    <n v="0"/>
    <s v="N/A"/>
    <s v="None"/>
    <n v="0"/>
    <n v="26"/>
    <n v="10698.91"/>
    <n v="70.8"/>
    <x v="1"/>
    <x v="0"/>
    <x v="1"/>
    <n v="174"/>
    <x v="1"/>
  </r>
  <r>
    <x v="609"/>
    <n v="47"/>
    <s v="Male"/>
    <s v="Divorced"/>
    <x v="2"/>
    <s v="Branch-Northgate"/>
    <s v="Business Owner"/>
    <s v="2019-07-27"/>
    <n v="6.9"/>
    <x v="1"/>
    <n v="2"/>
    <n v="25862.61"/>
    <n v="25443.23"/>
    <n v="703"/>
    <x v="1"/>
    <x v="2"/>
    <n v="2359822.98"/>
    <s v="Active"/>
    <s v="Debit Only"/>
    <n v="0"/>
    <n v="18"/>
    <n v="14875.36"/>
    <n v="17.2"/>
    <x v="0"/>
    <x v="4"/>
    <x v="1"/>
    <n v="325"/>
    <x v="0"/>
  </r>
  <r>
    <x v="610"/>
    <n v="72"/>
    <s v="Male"/>
    <s v="Single"/>
    <x v="1"/>
    <s v="Branch-Harborview"/>
    <s v="Business Owner"/>
    <s v="2024-06-25"/>
    <n v="2"/>
    <x v="2"/>
    <n v="1"/>
    <n v="48629.2"/>
    <n v="42932.84"/>
    <n v="636"/>
    <x v="0"/>
    <x v="1"/>
    <n v="0"/>
    <s v="N/A"/>
    <s v="Credit Only"/>
    <n v="222850.31"/>
    <n v="6"/>
    <n v="1651.79"/>
    <n v="95.5"/>
    <x v="3"/>
    <x v="0"/>
    <x v="4"/>
    <n v="307"/>
    <x v="0"/>
  </r>
  <r>
    <x v="611"/>
    <n v="56"/>
    <s v="Male"/>
    <s v="Single"/>
    <x v="1"/>
    <s v="Branch-Downtown"/>
    <s v="Student"/>
    <s v="2020-11-18"/>
    <n v="5.6"/>
    <x v="2"/>
    <n v="1"/>
    <n v="22912.26"/>
    <n v="88704.06"/>
    <n v="716"/>
    <x v="1"/>
    <x v="1"/>
    <n v="0"/>
    <s v="N/A"/>
    <s v="None"/>
    <n v="0"/>
    <n v="60"/>
    <n v="6144.14"/>
    <n v="23.7"/>
    <x v="0"/>
    <x v="2"/>
    <x v="0"/>
    <n v="272"/>
    <x v="0"/>
  </r>
  <r>
    <x v="612"/>
    <n v="74"/>
    <s v="Male"/>
    <s v="Widowed"/>
    <x v="2"/>
    <s v="Branch-Riverside"/>
    <s v="Business Owner"/>
    <s v="2025-06-25"/>
    <n v="1"/>
    <x v="4"/>
    <n v="5"/>
    <n v="31200.080000000002"/>
    <n v="77433.119999999995"/>
    <n v="662"/>
    <x v="0"/>
    <x v="5"/>
    <n v="869755.9"/>
    <s v="Defaulted"/>
    <s v="Credit Only"/>
    <n v="139877.6"/>
    <n v="46"/>
    <n v="1551.79"/>
    <n v="18.2"/>
    <x v="0"/>
    <x v="4"/>
    <x v="4"/>
    <n v="265"/>
    <x v="0"/>
  </r>
  <r>
    <x v="613"/>
    <n v="42"/>
    <s v="Female"/>
    <s v="Single"/>
    <x v="3"/>
    <s v="Branch-Downtown"/>
    <s v="Business Owner"/>
    <s v="2021-03-18"/>
    <n v="5.3"/>
    <x v="0"/>
    <n v="5"/>
    <n v="18619.400000000001"/>
    <n v="85118.84"/>
    <n v="689"/>
    <x v="1"/>
    <x v="1"/>
    <n v="0"/>
    <s v="N/A"/>
    <s v="Both"/>
    <n v="76071.5"/>
    <n v="33"/>
    <n v="6787.84"/>
    <n v="26.3"/>
    <x v="0"/>
    <x v="0"/>
    <x v="4"/>
    <n v="325"/>
    <x v="0"/>
  </r>
  <r>
    <x v="614"/>
    <n v="73"/>
    <s v="Female"/>
    <s v="Divorced"/>
    <x v="2"/>
    <s v="Branch-Harborview"/>
    <s v="Self-Employed"/>
    <s v="2024-01-09"/>
    <n v="2.5"/>
    <x v="1"/>
    <n v="1"/>
    <n v="12800.05"/>
    <n v="38622.22"/>
    <n v="571"/>
    <x v="4"/>
    <x v="2"/>
    <n v="2057349.04"/>
    <s v="Closed"/>
    <s v="Both"/>
    <n v="189365.98"/>
    <n v="9"/>
    <n v="524.49"/>
    <n v="62.6"/>
    <x v="0"/>
    <x v="4"/>
    <x v="4"/>
    <n v="99"/>
    <x v="0"/>
  </r>
  <r>
    <x v="615"/>
    <n v="55"/>
    <s v="Female"/>
    <s v="Married"/>
    <x v="1"/>
    <s v="Branch-Downtown"/>
    <s v="Business Owner"/>
    <s v="2024-02-20"/>
    <n v="2.4"/>
    <x v="0"/>
    <n v="3"/>
    <n v="37422.32"/>
    <n v="48498.17"/>
    <n v="689"/>
    <x v="1"/>
    <x v="3"/>
    <n v="1514122.23"/>
    <s v="Closed"/>
    <s v="Credit Only"/>
    <n v="175905.33"/>
    <n v="38"/>
    <n v="3141.33"/>
    <n v="59.7"/>
    <x v="2"/>
    <x v="3"/>
    <x v="4"/>
    <n v="302"/>
    <x v="1"/>
  </r>
  <r>
    <x v="616"/>
    <n v="73"/>
    <s v="Male"/>
    <s v="Divorced"/>
    <x v="0"/>
    <s v="Branch-Westfield"/>
    <s v="Business Owner"/>
    <s v="2026-03-04"/>
    <n v="0.3"/>
    <x v="2"/>
    <n v="1"/>
    <n v="20069.43"/>
    <n v="75212.7"/>
    <n v="575"/>
    <x v="4"/>
    <x v="3"/>
    <n v="89443.86"/>
    <s v="Closed"/>
    <s v="None"/>
    <n v="0"/>
    <n v="32"/>
    <n v="1720.72"/>
    <n v="89.1"/>
    <x v="1"/>
    <x v="2"/>
    <x v="1"/>
    <n v="299"/>
    <x v="1"/>
  </r>
  <r>
    <x v="617"/>
    <n v="29"/>
    <s v="Female"/>
    <s v="Married"/>
    <x v="2"/>
    <s v="Branch-Midtown"/>
    <s v="Business Owner"/>
    <s v="2019-11-16"/>
    <n v="6.6"/>
    <x v="3"/>
    <n v="4"/>
    <n v="68989.25"/>
    <n v="82982.59"/>
    <n v="531"/>
    <x v="4"/>
    <x v="1"/>
    <n v="0"/>
    <s v="N/A"/>
    <s v="Credit Only"/>
    <n v="133784.31"/>
    <n v="20"/>
    <n v="1507.48"/>
    <n v="87.3"/>
    <x v="0"/>
    <x v="3"/>
    <x v="1"/>
    <n v="177"/>
    <x v="0"/>
  </r>
  <r>
    <x v="618"/>
    <n v="43"/>
    <s v="Male"/>
    <s v="Married"/>
    <x v="2"/>
    <s v="Branch-Harborview"/>
    <s v="Business Owner"/>
    <s v="2024-05-23"/>
    <n v="2.1"/>
    <x v="3"/>
    <n v="3"/>
    <n v="118883.27"/>
    <n v="55222.84"/>
    <n v="721"/>
    <x v="1"/>
    <x v="1"/>
    <n v="0"/>
    <s v="N/A"/>
    <s v="Debit Only"/>
    <n v="0"/>
    <n v="26"/>
    <n v="9260.76"/>
    <n v="36.799999999999997"/>
    <x v="0"/>
    <x v="0"/>
    <x v="1"/>
    <n v="116"/>
    <x v="0"/>
  </r>
  <r>
    <x v="619"/>
    <n v="54"/>
    <s v="Male"/>
    <s v="Widowed"/>
    <x v="4"/>
    <s v="Branch-Greenfield"/>
    <s v="Student"/>
    <s v="2024-10-05"/>
    <n v="1.7"/>
    <x v="2"/>
    <n v="5"/>
    <n v="117609.15"/>
    <n v="50199.57"/>
    <n v="733"/>
    <x v="1"/>
    <x v="2"/>
    <n v="1243356.3500000001"/>
    <s v="Active"/>
    <s v="Debit Only"/>
    <n v="0"/>
    <n v="43"/>
    <n v="7366.29"/>
    <n v="64.400000000000006"/>
    <x v="0"/>
    <x v="1"/>
    <x v="1"/>
    <n v="219"/>
    <x v="0"/>
  </r>
  <r>
    <x v="620"/>
    <n v="21"/>
    <s v="Female"/>
    <s v="Married"/>
    <x v="1"/>
    <s v="Branch-Northgate"/>
    <s v="Salaried"/>
    <s v="2024-10-15"/>
    <n v="1.7"/>
    <x v="0"/>
    <n v="4"/>
    <n v="0"/>
    <n v="24633.72"/>
    <n v="656"/>
    <x v="0"/>
    <x v="4"/>
    <n v="1981480.18"/>
    <s v="Active"/>
    <s v="None"/>
    <n v="0"/>
    <n v="41"/>
    <n v="4748.92"/>
    <n v="33"/>
    <x v="1"/>
    <x v="3"/>
    <x v="2"/>
    <n v="167"/>
    <x v="0"/>
  </r>
  <r>
    <x v="621"/>
    <n v="62"/>
    <s v="Female"/>
    <s v="Widowed"/>
    <x v="4"/>
    <s v="Branch-Harborview"/>
    <s v="Self-Employed"/>
    <s v="2024-12-24"/>
    <n v="1.5"/>
    <x v="2"/>
    <n v="1"/>
    <n v="0"/>
    <n v="30534.26"/>
    <n v="847"/>
    <x v="3"/>
    <x v="3"/>
    <n v="1805996.52"/>
    <s v="Active"/>
    <s v="Credit Only"/>
    <n v="298878.64"/>
    <n v="53"/>
    <n v="11376.45"/>
    <n v="100"/>
    <x v="0"/>
    <x v="4"/>
    <x v="2"/>
    <n v="139"/>
    <x v="0"/>
  </r>
  <r>
    <x v="622"/>
    <n v="47"/>
    <s v="Male"/>
    <s v="Single"/>
    <x v="4"/>
    <s v="Branch-Lakeview"/>
    <s v="Freelancer"/>
    <s v="2023-11-19"/>
    <n v="2.6"/>
    <x v="2"/>
    <n v="2"/>
    <n v="30095.08"/>
    <n v="36808.379999999997"/>
    <n v="850"/>
    <x v="3"/>
    <x v="1"/>
    <n v="0"/>
    <s v="N/A"/>
    <s v="None"/>
    <n v="0"/>
    <n v="13"/>
    <n v="10033.83"/>
    <n v="67.900000000000006"/>
    <x v="1"/>
    <x v="1"/>
    <x v="1"/>
    <n v="45"/>
    <x v="0"/>
  </r>
  <r>
    <x v="623"/>
    <n v="59"/>
    <s v="Female"/>
    <s v="Widowed"/>
    <x v="1"/>
    <s v="Branch-Southpark"/>
    <s v="Business Owner"/>
    <s v="2021-04-24"/>
    <n v="5.2"/>
    <x v="0"/>
    <n v="1"/>
    <n v="95217.9"/>
    <n v="48541.4"/>
    <n v="680"/>
    <x v="1"/>
    <x v="2"/>
    <n v="1627752.22"/>
    <s v="Closed"/>
    <s v="Both"/>
    <n v="476890.6"/>
    <n v="59"/>
    <n v="13255.43"/>
    <n v="71.5"/>
    <x v="1"/>
    <x v="0"/>
    <x v="0"/>
    <n v="75"/>
    <x v="0"/>
  </r>
  <r>
    <x v="624"/>
    <n v="75"/>
    <s v="Female"/>
    <s v="Widowed"/>
    <x v="1"/>
    <s v="Branch-Westfield"/>
    <s v="Self-Employed"/>
    <s v="2022-03-13"/>
    <n v="4.3"/>
    <x v="3"/>
    <n v="4"/>
    <n v="132315.51"/>
    <n v="41194.230000000003"/>
    <n v="670"/>
    <x v="1"/>
    <x v="1"/>
    <n v="0"/>
    <s v="N/A"/>
    <s v="Debit Only"/>
    <n v="0"/>
    <n v="10"/>
    <n v="13459.36"/>
    <n v="90.6"/>
    <x v="2"/>
    <x v="1"/>
    <x v="4"/>
    <n v="261"/>
    <x v="0"/>
  </r>
  <r>
    <x v="625"/>
    <n v="41"/>
    <s v="Male"/>
    <s v="Married"/>
    <x v="4"/>
    <s v="Branch-Hillcrest"/>
    <s v="Self-Employed"/>
    <s v="2022-02-02"/>
    <n v="4.4000000000000004"/>
    <x v="0"/>
    <n v="3"/>
    <n v="190300.03"/>
    <n v="39872.46"/>
    <n v="617"/>
    <x v="0"/>
    <x v="3"/>
    <n v="657615.61"/>
    <s v="Active"/>
    <s v="Credit Only"/>
    <n v="451147.85"/>
    <n v="38"/>
    <n v="12857.15"/>
    <n v="65.8"/>
    <x v="0"/>
    <x v="4"/>
    <x v="0"/>
    <n v="366"/>
    <x v="0"/>
  </r>
  <r>
    <x v="626"/>
    <n v="21"/>
    <s v="Female"/>
    <s v="Divorced"/>
    <x v="0"/>
    <s v="Branch-Riverside"/>
    <s v="Freelancer"/>
    <s v="2023-11-03"/>
    <n v="2.7"/>
    <x v="1"/>
    <n v="1"/>
    <n v="127126.63"/>
    <n v="53980.77"/>
    <n v="600"/>
    <x v="0"/>
    <x v="2"/>
    <n v="1333442.6000000001"/>
    <s v="Active"/>
    <s v="Both"/>
    <n v="162431.9"/>
    <n v="46"/>
    <n v="10297.16"/>
    <n v="46.4"/>
    <x v="1"/>
    <x v="0"/>
    <x v="3"/>
    <n v="94"/>
    <x v="0"/>
  </r>
  <r>
    <x v="627"/>
    <n v="43"/>
    <s v="Female"/>
    <s v="Married"/>
    <x v="0"/>
    <s v="Branch-Westfield"/>
    <s v="Self-Employed"/>
    <s v="2021-11-16"/>
    <n v="4.5999999999999996"/>
    <x v="1"/>
    <n v="5"/>
    <n v="0"/>
    <n v="70331.61"/>
    <n v="591"/>
    <x v="0"/>
    <x v="1"/>
    <n v="0"/>
    <s v="N/A"/>
    <s v="Debit Only"/>
    <n v="0"/>
    <n v="18"/>
    <n v="2157.34"/>
    <n v="84.5"/>
    <x v="0"/>
    <x v="4"/>
    <x v="2"/>
    <n v="307"/>
    <x v="0"/>
  </r>
  <r>
    <x v="628"/>
    <n v="55"/>
    <s v="Female"/>
    <s v="Single"/>
    <x v="4"/>
    <s v="Branch-Riverside"/>
    <s v="Business Owner"/>
    <s v="2023-08-31"/>
    <n v="2.8"/>
    <x v="1"/>
    <n v="1"/>
    <n v="37093.93"/>
    <n v="53916.1"/>
    <n v="632"/>
    <x v="0"/>
    <x v="3"/>
    <n v="1943420.81"/>
    <s v="Active"/>
    <s v="Both"/>
    <n v="456765.09"/>
    <n v="28"/>
    <n v="8220.0300000000007"/>
    <n v="89.7"/>
    <x v="1"/>
    <x v="4"/>
    <x v="4"/>
    <n v="112"/>
    <x v="0"/>
  </r>
  <r>
    <x v="629"/>
    <n v="58"/>
    <s v="Male"/>
    <s v="Divorced"/>
    <x v="1"/>
    <s v="Branch-Northgate"/>
    <s v="Student"/>
    <s v="2022-03-06"/>
    <n v="4.3"/>
    <x v="0"/>
    <n v="1"/>
    <n v="98339.36"/>
    <n v="31878.33"/>
    <n v="673"/>
    <x v="1"/>
    <x v="1"/>
    <n v="0"/>
    <s v="N/A"/>
    <s v="None"/>
    <n v="0"/>
    <n v="51"/>
    <n v="2575.29"/>
    <n v="3.4"/>
    <x v="0"/>
    <x v="0"/>
    <x v="1"/>
    <n v="71"/>
    <x v="0"/>
  </r>
  <r>
    <x v="630"/>
    <n v="42"/>
    <s v="Male"/>
    <s v="Married"/>
    <x v="1"/>
    <s v="Branch-Greenfield"/>
    <s v="Self-Employed"/>
    <s v="2023-12-21"/>
    <n v="2.5"/>
    <x v="2"/>
    <n v="1"/>
    <n v="33470.9"/>
    <n v="49842.05"/>
    <n v="699"/>
    <x v="1"/>
    <x v="5"/>
    <n v="1942788.89"/>
    <s v="Closed"/>
    <s v="Credit Only"/>
    <n v="345011.74"/>
    <n v="0"/>
    <n v="1594.84"/>
    <n v="65.900000000000006"/>
    <x v="3"/>
    <x v="4"/>
    <x v="1"/>
    <n v="315"/>
    <x v="1"/>
  </r>
  <r>
    <x v="631"/>
    <n v="46"/>
    <s v="Male"/>
    <s v="Divorced"/>
    <x v="4"/>
    <s v="Branch-Oakridge"/>
    <s v="Business Owner"/>
    <s v="2022-10-07"/>
    <n v="3.7"/>
    <x v="0"/>
    <n v="2"/>
    <n v="0"/>
    <n v="26930.07"/>
    <n v="574"/>
    <x v="4"/>
    <x v="5"/>
    <n v="2306438.38"/>
    <s v="Active"/>
    <s v="Debit Only"/>
    <n v="0"/>
    <n v="2"/>
    <n v="12009.69"/>
    <n v="67.599999999999994"/>
    <x v="0"/>
    <x v="0"/>
    <x v="4"/>
    <n v="369"/>
    <x v="1"/>
  </r>
  <r>
    <x v="632"/>
    <n v="19"/>
    <s v="Male"/>
    <s v="Married"/>
    <x v="4"/>
    <s v="Branch-Midtown"/>
    <s v="Freelancer"/>
    <s v="2020-11-15"/>
    <n v="5.6"/>
    <x v="0"/>
    <n v="5"/>
    <n v="0"/>
    <n v="31252.39"/>
    <n v="702"/>
    <x v="1"/>
    <x v="0"/>
    <n v="2314331.44"/>
    <s v="Defaulted"/>
    <s v="None"/>
    <n v="0"/>
    <n v="55"/>
    <n v="10500.17"/>
    <n v="86.3"/>
    <x v="0"/>
    <x v="2"/>
    <x v="3"/>
    <n v="374"/>
    <x v="0"/>
  </r>
  <r>
    <x v="633"/>
    <n v="30"/>
    <s v="Male"/>
    <s v="Single"/>
    <x v="3"/>
    <s v="Branch-Hillcrest"/>
    <s v="Retired"/>
    <s v="2021-05-09"/>
    <n v="5.0999999999999996"/>
    <x v="2"/>
    <n v="5"/>
    <n v="104599.25"/>
    <n v="34444.31"/>
    <n v="811"/>
    <x v="3"/>
    <x v="1"/>
    <n v="0"/>
    <s v="N/A"/>
    <s v="None"/>
    <n v="0"/>
    <n v="32"/>
    <n v="3182.67"/>
    <n v="42.2"/>
    <x v="3"/>
    <x v="3"/>
    <x v="2"/>
    <n v="291"/>
    <x v="0"/>
  </r>
  <r>
    <x v="634"/>
    <n v="63"/>
    <s v="Female"/>
    <s v="Married"/>
    <x v="4"/>
    <s v="Branch-Oakridge"/>
    <s v="Salaried"/>
    <s v="2018-06-07"/>
    <n v="8.1"/>
    <x v="2"/>
    <n v="5"/>
    <n v="27371.07"/>
    <n v="55869.02"/>
    <n v="660"/>
    <x v="0"/>
    <x v="1"/>
    <n v="0"/>
    <s v="N/A"/>
    <s v="None"/>
    <n v="0"/>
    <n v="15"/>
    <n v="4521.21"/>
    <n v="66.5"/>
    <x v="4"/>
    <x v="0"/>
    <x v="1"/>
    <n v="191"/>
    <x v="1"/>
  </r>
  <r>
    <x v="635"/>
    <n v="43"/>
    <s v="Female"/>
    <s v="Widowed"/>
    <x v="3"/>
    <s v="Branch-Harborview"/>
    <s v="Freelancer"/>
    <s v="2026-03-11"/>
    <n v="0.3"/>
    <x v="1"/>
    <n v="4"/>
    <n v="132458.39000000001"/>
    <n v="40385.75"/>
    <n v="732"/>
    <x v="1"/>
    <x v="2"/>
    <n v="1252563.0900000001"/>
    <s v="Closed"/>
    <s v="None"/>
    <n v="0"/>
    <n v="43"/>
    <n v="14155.95"/>
    <n v="30"/>
    <x v="0"/>
    <x v="0"/>
    <x v="0"/>
    <n v="93"/>
    <x v="0"/>
  </r>
  <r>
    <x v="636"/>
    <n v="55"/>
    <s v="Male"/>
    <s v="Divorced"/>
    <x v="4"/>
    <s v="Branch-Westfield"/>
    <s v="Self-Employed"/>
    <s v="2022-06-11"/>
    <n v="4.0999999999999996"/>
    <x v="2"/>
    <n v="2"/>
    <n v="22208.75"/>
    <n v="12341"/>
    <n v="614"/>
    <x v="0"/>
    <x v="5"/>
    <n v="460151.67"/>
    <s v="Active"/>
    <s v="Credit Only"/>
    <n v="113970.9"/>
    <n v="33"/>
    <n v="4406.72"/>
    <n v="35.9"/>
    <x v="1"/>
    <x v="4"/>
    <x v="4"/>
    <n v="282"/>
    <x v="0"/>
  </r>
  <r>
    <x v="637"/>
    <n v="67"/>
    <s v="Male"/>
    <s v="Married"/>
    <x v="1"/>
    <s v="Branch-Eastwood"/>
    <s v="Self-Employed"/>
    <s v="2026-01-17"/>
    <n v="0.4"/>
    <x v="1"/>
    <n v="5"/>
    <n v="48306.66"/>
    <n v="21614.68"/>
    <n v="754"/>
    <x v="2"/>
    <x v="1"/>
    <n v="0"/>
    <s v="N/A"/>
    <s v="Credit Only"/>
    <n v="72063.69"/>
    <n v="32"/>
    <n v="7531.43"/>
    <n v="68.3"/>
    <x v="0"/>
    <x v="0"/>
    <x v="1"/>
    <n v="355"/>
    <x v="0"/>
  </r>
  <r>
    <x v="638"/>
    <n v="44"/>
    <s v="Male"/>
    <s v="Married"/>
    <x v="2"/>
    <s v="Branch-Greenfield"/>
    <s v="Self-Employed"/>
    <s v="2019-04-11"/>
    <n v="7.2"/>
    <x v="2"/>
    <n v="4"/>
    <n v="51635.59"/>
    <n v="33503.97"/>
    <n v="761"/>
    <x v="2"/>
    <x v="3"/>
    <n v="2119923.91"/>
    <s v="Active"/>
    <s v="None"/>
    <n v="0"/>
    <n v="54"/>
    <n v="12969.66"/>
    <n v="67"/>
    <x v="3"/>
    <x v="3"/>
    <x v="4"/>
    <n v="104"/>
    <x v="0"/>
  </r>
  <r>
    <x v="639"/>
    <n v="40"/>
    <s v="Female"/>
    <s v="Widowed"/>
    <x v="4"/>
    <s v="Branch-Oakridge"/>
    <s v="Student"/>
    <s v="2020-01-11"/>
    <n v="6.5"/>
    <x v="2"/>
    <n v="4"/>
    <n v="3893.76"/>
    <n v="36445.19"/>
    <n v="811"/>
    <x v="3"/>
    <x v="1"/>
    <n v="0"/>
    <s v="N/A"/>
    <s v="None"/>
    <n v="0"/>
    <n v="6"/>
    <n v="13670.34"/>
    <n v="33"/>
    <x v="1"/>
    <x v="1"/>
    <x v="4"/>
    <n v="190"/>
    <x v="0"/>
  </r>
  <r>
    <x v="640"/>
    <n v="43"/>
    <s v="Female"/>
    <s v="Divorced"/>
    <x v="2"/>
    <s v="Branch-Greenfield"/>
    <s v="Salaried"/>
    <s v="2020-08-16"/>
    <n v="5.9"/>
    <x v="2"/>
    <n v="5"/>
    <n v="13418.74"/>
    <n v="58066.95"/>
    <n v="709"/>
    <x v="1"/>
    <x v="3"/>
    <n v="2361708.84"/>
    <s v="Closed"/>
    <s v="Credit Only"/>
    <n v="396012.44"/>
    <n v="0"/>
    <n v="13899.89"/>
    <n v="73.5"/>
    <x v="0"/>
    <x v="2"/>
    <x v="1"/>
    <n v="342"/>
    <x v="0"/>
  </r>
  <r>
    <x v="641"/>
    <n v="18"/>
    <s v="Female"/>
    <s v="Widowed"/>
    <x v="2"/>
    <s v="Branch-Riverside"/>
    <s v="Retired"/>
    <s v="2020-12-23"/>
    <n v="5.5"/>
    <x v="1"/>
    <n v="5"/>
    <n v="56856.36"/>
    <n v="43091.65"/>
    <n v="565"/>
    <x v="4"/>
    <x v="5"/>
    <n v="883393.71"/>
    <s v="Closed"/>
    <s v="Credit Only"/>
    <n v="445365.5"/>
    <n v="39"/>
    <n v="6322.04"/>
    <n v="72.5"/>
    <x v="0"/>
    <x v="2"/>
    <x v="2"/>
    <n v="46"/>
    <x v="0"/>
  </r>
  <r>
    <x v="642"/>
    <n v="36"/>
    <s v="Female"/>
    <s v="Divorced"/>
    <x v="3"/>
    <s v="Branch-Riverside"/>
    <s v="Student"/>
    <s v="2020-12-23"/>
    <n v="5.5"/>
    <x v="3"/>
    <n v="3"/>
    <n v="4802.28"/>
    <n v="25298.04"/>
    <n v="665"/>
    <x v="0"/>
    <x v="1"/>
    <n v="0"/>
    <s v="N/A"/>
    <s v="Debit Only"/>
    <n v="0"/>
    <n v="14"/>
    <n v="3983.46"/>
    <n v="55.3"/>
    <x v="1"/>
    <x v="0"/>
    <x v="1"/>
    <n v="204"/>
    <x v="0"/>
  </r>
  <r>
    <x v="643"/>
    <n v="50"/>
    <s v="Male"/>
    <s v="Widowed"/>
    <x v="4"/>
    <s v="Branch-Oakridge"/>
    <s v="Self-Employed"/>
    <s v="2025-09-29"/>
    <n v="0.8"/>
    <x v="4"/>
    <n v="4"/>
    <n v="105290.57"/>
    <n v="29138.71"/>
    <n v="695"/>
    <x v="1"/>
    <x v="3"/>
    <n v="456774.38"/>
    <s v="Active"/>
    <s v="Debit Only"/>
    <n v="0"/>
    <n v="0"/>
    <n v="13524.39"/>
    <n v="5.7"/>
    <x v="0"/>
    <x v="0"/>
    <x v="3"/>
    <n v="65"/>
    <x v="0"/>
  </r>
  <r>
    <x v="644"/>
    <n v="76"/>
    <s v="Male"/>
    <s v="Married"/>
    <x v="2"/>
    <s v="Branch-Eastwood"/>
    <s v="Retired"/>
    <s v="2019-06-07"/>
    <n v="7.1"/>
    <x v="1"/>
    <n v="1"/>
    <n v="123641.4"/>
    <n v="23724.38"/>
    <n v="816"/>
    <x v="3"/>
    <x v="1"/>
    <n v="0"/>
    <s v="N/A"/>
    <s v="None"/>
    <n v="0"/>
    <n v="52"/>
    <n v="7026.81"/>
    <n v="50.5"/>
    <x v="0"/>
    <x v="1"/>
    <x v="1"/>
    <n v="394"/>
    <x v="1"/>
  </r>
  <r>
    <x v="645"/>
    <n v="54"/>
    <s v="Female"/>
    <s v="Widowed"/>
    <x v="4"/>
    <s v="Branch-Oakridge"/>
    <s v="Freelancer"/>
    <s v="2024-10-26"/>
    <n v="1.7"/>
    <x v="1"/>
    <n v="4"/>
    <n v="74925.509999999995"/>
    <n v="81110.53"/>
    <n v="622"/>
    <x v="0"/>
    <x v="3"/>
    <n v="778992.28"/>
    <s v="Active"/>
    <s v="Debit Only"/>
    <n v="0"/>
    <n v="0"/>
    <n v="6249.94"/>
    <n v="92.2"/>
    <x v="1"/>
    <x v="3"/>
    <x v="1"/>
    <n v="389"/>
    <x v="0"/>
  </r>
  <r>
    <x v="646"/>
    <n v="33"/>
    <s v="Female"/>
    <s v="Single"/>
    <x v="1"/>
    <s v="Branch-Northgate"/>
    <s v="Student"/>
    <s v="2018-07-21"/>
    <n v="7.9"/>
    <x v="2"/>
    <n v="5"/>
    <n v="142708.89000000001"/>
    <n v="72846.11"/>
    <n v="737"/>
    <x v="1"/>
    <x v="4"/>
    <n v="2360532.7200000002"/>
    <s v="Active"/>
    <s v="Debit Only"/>
    <n v="0"/>
    <n v="1"/>
    <n v="11138.31"/>
    <n v="31.5"/>
    <x v="0"/>
    <x v="2"/>
    <x v="1"/>
    <n v="47"/>
    <x v="0"/>
  </r>
  <r>
    <x v="647"/>
    <n v="52"/>
    <s v="Male"/>
    <s v="Married"/>
    <x v="3"/>
    <s v="Branch-Oakridge"/>
    <s v="Retired"/>
    <s v="2018-12-14"/>
    <n v="7.5"/>
    <x v="0"/>
    <n v="4"/>
    <n v="52032.39"/>
    <n v="45533.71"/>
    <n v="691"/>
    <x v="1"/>
    <x v="0"/>
    <n v="2091011.52"/>
    <s v="Closed"/>
    <s v="None"/>
    <n v="0"/>
    <n v="39"/>
    <n v="13107.87"/>
    <n v="77.3"/>
    <x v="0"/>
    <x v="2"/>
    <x v="1"/>
    <n v="264"/>
    <x v="0"/>
  </r>
  <r>
    <x v="648"/>
    <n v="21"/>
    <s v="Male"/>
    <s v="Married"/>
    <x v="4"/>
    <s v="Branch-Southpark"/>
    <s v="Student"/>
    <s v="2021-04-26"/>
    <n v="5.2"/>
    <x v="4"/>
    <n v="3"/>
    <n v="0"/>
    <n v="55022.1"/>
    <n v="686"/>
    <x v="1"/>
    <x v="2"/>
    <n v="2266431.17"/>
    <s v="Closed"/>
    <s v="None"/>
    <n v="0"/>
    <n v="29"/>
    <n v="2154.67"/>
    <n v="88.1"/>
    <x v="4"/>
    <x v="0"/>
    <x v="2"/>
    <n v="148"/>
    <x v="0"/>
  </r>
  <r>
    <x v="649"/>
    <n v="59"/>
    <s v="Female"/>
    <s v="Married"/>
    <x v="0"/>
    <s v="Branch-Downtown"/>
    <s v="Student"/>
    <s v="2022-07-21"/>
    <n v="3.9"/>
    <x v="2"/>
    <n v="4"/>
    <n v="16129.49"/>
    <n v="47560.14"/>
    <n v="697"/>
    <x v="1"/>
    <x v="0"/>
    <n v="373731.43"/>
    <s v="Active"/>
    <s v="Debit Only"/>
    <n v="0"/>
    <n v="8"/>
    <n v="3581.49"/>
    <n v="48.7"/>
    <x v="0"/>
    <x v="4"/>
    <x v="1"/>
    <n v="50"/>
    <x v="0"/>
  </r>
  <r>
    <x v="650"/>
    <n v="20"/>
    <s v="Male"/>
    <s v="Single"/>
    <x v="2"/>
    <s v="Branch-Downtown"/>
    <s v="Business Owner"/>
    <s v="2022-07-18"/>
    <n v="4"/>
    <x v="4"/>
    <n v="2"/>
    <n v="79543.740000000005"/>
    <n v="72337.759999999995"/>
    <n v="645"/>
    <x v="0"/>
    <x v="1"/>
    <n v="0"/>
    <s v="N/A"/>
    <s v="Both"/>
    <n v="414815.32"/>
    <n v="60"/>
    <n v="4026.27"/>
    <n v="78.3"/>
    <x v="0"/>
    <x v="1"/>
    <x v="3"/>
    <n v="271"/>
    <x v="0"/>
  </r>
  <r>
    <x v="651"/>
    <n v="57"/>
    <s v="Male"/>
    <s v="Divorced"/>
    <x v="1"/>
    <s v="Branch-Harborview"/>
    <s v="Business Owner"/>
    <s v="2025-12-17"/>
    <n v="0.5"/>
    <x v="2"/>
    <n v="1"/>
    <n v="102611.59"/>
    <n v="49296.82"/>
    <n v="715"/>
    <x v="1"/>
    <x v="2"/>
    <n v="1623822.55"/>
    <s v="Closed"/>
    <s v="Both"/>
    <n v="445646.31"/>
    <n v="9"/>
    <n v="10741.45"/>
    <n v="23"/>
    <x v="2"/>
    <x v="0"/>
    <x v="1"/>
    <n v="312"/>
    <x v="1"/>
  </r>
  <r>
    <x v="652"/>
    <n v="66"/>
    <s v="Female"/>
    <s v="Widowed"/>
    <x v="1"/>
    <s v="Branch-Hillcrest"/>
    <s v="Freelancer"/>
    <s v="2022-05-05"/>
    <n v="4.2"/>
    <x v="2"/>
    <n v="5"/>
    <n v="36378.26"/>
    <n v="49229.4"/>
    <n v="690"/>
    <x v="1"/>
    <x v="1"/>
    <n v="0"/>
    <s v="N/A"/>
    <s v="Debit Only"/>
    <n v="0"/>
    <n v="16"/>
    <n v="13983.99"/>
    <n v="54.6"/>
    <x v="0"/>
    <x v="0"/>
    <x v="4"/>
    <n v="149"/>
    <x v="0"/>
  </r>
  <r>
    <x v="653"/>
    <n v="72"/>
    <s v="Male"/>
    <s v="Widowed"/>
    <x v="3"/>
    <s v="Branch-Harborview"/>
    <s v="Freelancer"/>
    <s v="2024-06-08"/>
    <n v="2.1"/>
    <x v="2"/>
    <n v="1"/>
    <n v="0"/>
    <n v="18374.509999999998"/>
    <n v="623"/>
    <x v="0"/>
    <x v="1"/>
    <n v="0"/>
    <s v="N/A"/>
    <s v="None"/>
    <n v="0"/>
    <n v="8"/>
    <n v="3496.34"/>
    <n v="66.7"/>
    <x v="4"/>
    <x v="0"/>
    <x v="4"/>
    <n v="80"/>
    <x v="0"/>
  </r>
  <r>
    <x v="654"/>
    <n v="37"/>
    <s v="Female"/>
    <s v="Married"/>
    <x v="4"/>
    <s v="Branch-Riverside"/>
    <s v="Retired"/>
    <s v="2018-12-19"/>
    <n v="7.5"/>
    <x v="4"/>
    <n v="2"/>
    <n v="0"/>
    <n v="35270.68"/>
    <n v="813"/>
    <x v="3"/>
    <x v="1"/>
    <n v="0"/>
    <s v="N/A"/>
    <s v="Debit Only"/>
    <n v="0"/>
    <n v="22"/>
    <n v="9479.89"/>
    <n v="86.3"/>
    <x v="1"/>
    <x v="2"/>
    <x v="0"/>
    <n v="301"/>
    <x v="0"/>
  </r>
  <r>
    <x v="655"/>
    <n v="41"/>
    <s v="Female"/>
    <s v="Widowed"/>
    <x v="3"/>
    <s v="Branch-Lakeview"/>
    <s v="Retired"/>
    <s v="2020-01-25"/>
    <n v="6.4"/>
    <x v="0"/>
    <n v="3"/>
    <n v="106268.16"/>
    <n v="50458.1"/>
    <n v="757"/>
    <x v="2"/>
    <x v="5"/>
    <n v="1467516.7"/>
    <s v="Closed"/>
    <s v="None"/>
    <n v="0"/>
    <n v="29"/>
    <n v="2449.7800000000002"/>
    <n v="84.3"/>
    <x v="0"/>
    <x v="2"/>
    <x v="2"/>
    <n v="393"/>
    <x v="0"/>
  </r>
  <r>
    <x v="656"/>
    <n v="18"/>
    <s v="Male"/>
    <s v="Widowed"/>
    <x v="1"/>
    <s v="Branch-Greenfield"/>
    <s v="Business Owner"/>
    <s v="2021-05-21"/>
    <n v="5.0999999999999996"/>
    <x v="2"/>
    <n v="1"/>
    <n v="0"/>
    <n v="45013.26"/>
    <n v="747"/>
    <x v="2"/>
    <x v="4"/>
    <n v="2364952.4900000002"/>
    <s v="Active"/>
    <s v="Debit Only"/>
    <n v="0"/>
    <n v="48"/>
    <n v="4517.26"/>
    <n v="17.5"/>
    <x v="0"/>
    <x v="0"/>
    <x v="1"/>
    <n v="149"/>
    <x v="0"/>
  </r>
  <r>
    <x v="657"/>
    <n v="62"/>
    <s v="Male"/>
    <s v="Married"/>
    <x v="2"/>
    <s v="Branch-Greenfield"/>
    <s v="Freelancer"/>
    <s v="2022-04-11"/>
    <n v="4.2"/>
    <x v="0"/>
    <n v="1"/>
    <n v="101875.85"/>
    <n v="43897.77"/>
    <n v="760"/>
    <x v="2"/>
    <x v="1"/>
    <n v="0"/>
    <s v="N/A"/>
    <s v="Both"/>
    <n v="379236.23"/>
    <n v="24"/>
    <n v="4211.92"/>
    <n v="49"/>
    <x v="0"/>
    <x v="3"/>
    <x v="3"/>
    <n v="338"/>
    <x v="0"/>
  </r>
  <r>
    <x v="658"/>
    <n v="65"/>
    <s v="Female"/>
    <s v="Single"/>
    <x v="0"/>
    <s v="Branch-Lakeview"/>
    <s v="Business Owner"/>
    <s v="2023-09-20"/>
    <n v="2.8"/>
    <x v="1"/>
    <n v="3"/>
    <n v="67449.19"/>
    <n v="52258.85"/>
    <n v="806"/>
    <x v="3"/>
    <x v="3"/>
    <n v="1607763.33"/>
    <s v="Closed"/>
    <s v="Both"/>
    <n v="155121.67000000001"/>
    <n v="50"/>
    <n v="9647"/>
    <n v="49.4"/>
    <x v="0"/>
    <x v="3"/>
    <x v="0"/>
    <n v="202"/>
    <x v="0"/>
  </r>
  <r>
    <x v="659"/>
    <n v="72"/>
    <s v="Female"/>
    <s v="Divorced"/>
    <x v="0"/>
    <s v="Branch-Southpark"/>
    <s v="Self-Employed"/>
    <s v="2019-09-24"/>
    <n v="6.8"/>
    <x v="2"/>
    <n v="1"/>
    <n v="43781.03"/>
    <n v="45590.559999999998"/>
    <n v="655"/>
    <x v="0"/>
    <x v="4"/>
    <n v="1221050.33"/>
    <s v="Closed"/>
    <s v="Debit Only"/>
    <n v="0"/>
    <n v="4"/>
    <n v="1443.88"/>
    <n v="4.8"/>
    <x v="0"/>
    <x v="4"/>
    <x v="1"/>
    <n v="276"/>
    <x v="0"/>
  </r>
  <r>
    <x v="660"/>
    <n v="33"/>
    <s v="Male"/>
    <s v="Widowed"/>
    <x v="0"/>
    <s v="Branch-Harborview"/>
    <s v="Self-Employed"/>
    <s v="2026-03-21"/>
    <n v="0.3"/>
    <x v="2"/>
    <n v="1"/>
    <n v="68581.77"/>
    <n v="52915.74"/>
    <n v="817"/>
    <x v="3"/>
    <x v="3"/>
    <n v="434978.39"/>
    <s v="Closed"/>
    <s v="None"/>
    <n v="0"/>
    <n v="41"/>
    <n v="13305.16"/>
    <n v="87.9"/>
    <x v="1"/>
    <x v="1"/>
    <x v="1"/>
    <n v="291"/>
    <x v="0"/>
  </r>
  <r>
    <x v="661"/>
    <n v="62"/>
    <s v="Female"/>
    <s v="Married"/>
    <x v="3"/>
    <s v="Branch-Harborview"/>
    <s v="Salaried"/>
    <s v="2018-12-11"/>
    <n v="7.6"/>
    <x v="3"/>
    <n v="5"/>
    <n v="28591.25"/>
    <n v="45795.6"/>
    <n v="502"/>
    <x v="4"/>
    <x v="1"/>
    <n v="0"/>
    <s v="N/A"/>
    <s v="Credit Only"/>
    <n v="439196.66"/>
    <n v="25"/>
    <n v="14970.6"/>
    <n v="97.1"/>
    <x v="0"/>
    <x v="0"/>
    <x v="4"/>
    <n v="322"/>
    <x v="0"/>
  </r>
  <r>
    <x v="662"/>
    <n v="21"/>
    <s v="Male"/>
    <s v="Divorced"/>
    <x v="4"/>
    <s v="Branch-Hillcrest"/>
    <s v="Retired"/>
    <s v="2024-01-26"/>
    <n v="2.4"/>
    <x v="0"/>
    <n v="5"/>
    <n v="52221.64"/>
    <n v="8000"/>
    <n v="639"/>
    <x v="0"/>
    <x v="1"/>
    <n v="0"/>
    <s v="N/A"/>
    <s v="Debit Only"/>
    <n v="0"/>
    <n v="8"/>
    <n v="14317.87"/>
    <n v="100"/>
    <x v="0"/>
    <x v="3"/>
    <x v="4"/>
    <n v="397"/>
    <x v="0"/>
  </r>
  <r>
    <x v="663"/>
    <n v="67"/>
    <s v="Male"/>
    <s v="Divorced"/>
    <x v="2"/>
    <s v="Branch-Eastwood"/>
    <s v="Student"/>
    <s v="2025-04-04"/>
    <n v="1.2"/>
    <x v="2"/>
    <n v="2"/>
    <n v="90760.26"/>
    <n v="55404"/>
    <n v="584"/>
    <x v="0"/>
    <x v="1"/>
    <n v="0"/>
    <s v="N/A"/>
    <s v="None"/>
    <n v="0"/>
    <n v="0"/>
    <n v="8921.6"/>
    <n v="58.5"/>
    <x v="1"/>
    <x v="2"/>
    <x v="2"/>
    <n v="319"/>
    <x v="0"/>
  </r>
  <r>
    <x v="664"/>
    <n v="37"/>
    <s v="Male"/>
    <s v="Divorced"/>
    <x v="1"/>
    <s v="Branch-Midtown"/>
    <s v="Salaried"/>
    <s v="2019-07-15"/>
    <n v="7"/>
    <x v="1"/>
    <n v="4"/>
    <n v="89739.97"/>
    <n v="68178.58"/>
    <n v="759"/>
    <x v="2"/>
    <x v="5"/>
    <n v="646688.27"/>
    <s v="Active"/>
    <s v="Debit Only"/>
    <n v="0"/>
    <n v="49"/>
    <n v="5571.99"/>
    <n v="53.1"/>
    <x v="0"/>
    <x v="0"/>
    <x v="1"/>
    <n v="229"/>
    <x v="0"/>
  </r>
  <r>
    <x v="665"/>
    <n v="64"/>
    <s v="Male"/>
    <s v="Divorced"/>
    <x v="1"/>
    <s v="Branch-Lakeview"/>
    <s v="Retired"/>
    <s v="2023-03-01"/>
    <n v="3.3"/>
    <x v="0"/>
    <n v="4"/>
    <n v="0"/>
    <n v="33301.85"/>
    <n v="683"/>
    <x v="1"/>
    <x v="2"/>
    <n v="153202.63"/>
    <s v="Closed"/>
    <s v="Credit Only"/>
    <n v="411496.25"/>
    <n v="25"/>
    <n v="7435.08"/>
    <n v="80.2"/>
    <x v="1"/>
    <x v="4"/>
    <x v="2"/>
    <n v="242"/>
    <x v="0"/>
  </r>
  <r>
    <x v="666"/>
    <n v="19"/>
    <s v="Male"/>
    <s v="Divorced"/>
    <x v="2"/>
    <s v="Branch-Hillcrest"/>
    <s v="Salaried"/>
    <s v="2018-11-01"/>
    <n v="7.7"/>
    <x v="0"/>
    <n v="1"/>
    <n v="12322.3"/>
    <n v="49973.599999999999"/>
    <n v="691"/>
    <x v="1"/>
    <x v="1"/>
    <n v="0"/>
    <s v="N/A"/>
    <s v="None"/>
    <n v="0"/>
    <n v="58"/>
    <n v="5298.06"/>
    <n v="70.8"/>
    <x v="0"/>
    <x v="4"/>
    <x v="0"/>
    <n v="104"/>
    <x v="0"/>
  </r>
  <r>
    <x v="667"/>
    <n v="23"/>
    <s v="Male"/>
    <s v="Married"/>
    <x v="1"/>
    <s v="Branch-Riverside"/>
    <s v="Freelancer"/>
    <s v="2024-01-05"/>
    <n v="2.5"/>
    <x v="2"/>
    <n v="2"/>
    <n v="37495.120000000003"/>
    <n v="91308.93"/>
    <n v="792"/>
    <x v="2"/>
    <x v="0"/>
    <n v="2401214.06"/>
    <s v="Closed"/>
    <s v="None"/>
    <n v="0"/>
    <n v="23"/>
    <n v="4435.28"/>
    <n v="48.6"/>
    <x v="1"/>
    <x v="1"/>
    <x v="1"/>
    <n v="371"/>
    <x v="0"/>
  </r>
  <r>
    <x v="668"/>
    <n v="38"/>
    <s v="Male"/>
    <s v="Divorced"/>
    <x v="4"/>
    <s v="Branch-Oakridge"/>
    <s v="Student"/>
    <s v="2021-02-22"/>
    <n v="5.4"/>
    <x v="1"/>
    <n v="4"/>
    <n v="218776.29"/>
    <n v="40707.910000000003"/>
    <n v="659"/>
    <x v="0"/>
    <x v="4"/>
    <n v="1406363.17"/>
    <s v="Active"/>
    <s v="Credit Only"/>
    <n v="317660.62"/>
    <n v="48"/>
    <n v="10512.61"/>
    <n v="7"/>
    <x v="0"/>
    <x v="0"/>
    <x v="0"/>
    <n v="397"/>
    <x v="1"/>
  </r>
  <r>
    <x v="669"/>
    <n v="72"/>
    <s v="Male"/>
    <s v="Divorced"/>
    <x v="4"/>
    <s v="Branch-Riverside"/>
    <s v="Freelancer"/>
    <s v="2026-01-22"/>
    <n v="0.4"/>
    <x v="0"/>
    <n v="3"/>
    <n v="0"/>
    <n v="52906.2"/>
    <n v="736"/>
    <x v="1"/>
    <x v="1"/>
    <n v="0"/>
    <s v="N/A"/>
    <s v="Both"/>
    <n v="456971.86"/>
    <n v="58"/>
    <n v="2042.01"/>
    <n v="6.4"/>
    <x v="1"/>
    <x v="4"/>
    <x v="1"/>
    <n v="364"/>
    <x v="0"/>
  </r>
  <r>
    <x v="670"/>
    <n v="53"/>
    <s v="Male"/>
    <s v="Married"/>
    <x v="2"/>
    <s v="Branch-Hillcrest"/>
    <s v="Retired"/>
    <s v="2023-02-10"/>
    <n v="3.4"/>
    <x v="0"/>
    <n v="5"/>
    <n v="92325.3"/>
    <n v="46742.86"/>
    <n v="558"/>
    <x v="4"/>
    <x v="0"/>
    <n v="1020896.52"/>
    <s v="Active"/>
    <s v="None"/>
    <n v="0"/>
    <n v="28"/>
    <n v="8575.41"/>
    <n v="86"/>
    <x v="4"/>
    <x v="1"/>
    <x v="4"/>
    <n v="259"/>
    <x v="0"/>
  </r>
  <r>
    <x v="671"/>
    <n v="67"/>
    <s v="Female"/>
    <s v="Widowed"/>
    <x v="4"/>
    <s v="Branch-Lakeview"/>
    <s v="Self-Employed"/>
    <s v="2019-09-01"/>
    <n v="6.8"/>
    <x v="0"/>
    <n v="5"/>
    <n v="0"/>
    <n v="38273.870000000003"/>
    <n v="640"/>
    <x v="0"/>
    <x v="5"/>
    <n v="1434170.09"/>
    <s v="Active"/>
    <s v="Both"/>
    <n v="83005.67"/>
    <n v="58"/>
    <n v="11799.05"/>
    <n v="0.5"/>
    <x v="0"/>
    <x v="4"/>
    <x v="2"/>
    <n v="270"/>
    <x v="1"/>
  </r>
  <r>
    <x v="672"/>
    <n v="40"/>
    <s v="Male"/>
    <s v="Widowed"/>
    <x v="1"/>
    <s v="Branch-Oakridge"/>
    <s v="Student"/>
    <s v="2023-05-05"/>
    <n v="3.2"/>
    <x v="2"/>
    <n v="4"/>
    <n v="111370.17"/>
    <n v="42042.68"/>
    <n v="715"/>
    <x v="1"/>
    <x v="1"/>
    <n v="0"/>
    <s v="N/A"/>
    <s v="None"/>
    <n v="0"/>
    <n v="55"/>
    <n v="6776.47"/>
    <n v="56.8"/>
    <x v="2"/>
    <x v="3"/>
    <x v="1"/>
    <n v="356"/>
    <x v="0"/>
  </r>
  <r>
    <x v="673"/>
    <n v="32"/>
    <s v="Male"/>
    <s v="Divorced"/>
    <x v="0"/>
    <s v="Branch-Northgate"/>
    <s v="Business Owner"/>
    <s v="2022-10-04"/>
    <n v="3.7"/>
    <x v="0"/>
    <n v="3"/>
    <n v="113826.41"/>
    <n v="47263.48"/>
    <n v="576"/>
    <x v="4"/>
    <x v="1"/>
    <n v="0"/>
    <s v="N/A"/>
    <s v="Debit Only"/>
    <n v="0"/>
    <n v="23"/>
    <n v="4901.08"/>
    <n v="77.599999999999994"/>
    <x v="2"/>
    <x v="2"/>
    <x v="2"/>
    <n v="52"/>
    <x v="1"/>
  </r>
  <r>
    <x v="674"/>
    <n v="76"/>
    <s v="Female"/>
    <s v="Married"/>
    <x v="2"/>
    <s v="Branch-Lakeview"/>
    <s v="Freelancer"/>
    <s v="2018-12-13"/>
    <n v="7.6"/>
    <x v="1"/>
    <n v="1"/>
    <n v="52337.58"/>
    <n v="23756.03"/>
    <n v="593"/>
    <x v="0"/>
    <x v="3"/>
    <n v="1344593.19"/>
    <s v="Active"/>
    <s v="Both"/>
    <n v="26876.58"/>
    <n v="43"/>
    <n v="13989.93"/>
    <n v="14.9"/>
    <x v="0"/>
    <x v="1"/>
    <x v="4"/>
    <n v="396"/>
    <x v="0"/>
  </r>
  <r>
    <x v="675"/>
    <n v="23"/>
    <s v="Male"/>
    <s v="Single"/>
    <x v="1"/>
    <s v="Branch-Hillcrest"/>
    <s v="Business Owner"/>
    <s v="2019-03-15"/>
    <n v="7.3"/>
    <x v="1"/>
    <n v="4"/>
    <n v="124442.94"/>
    <n v="66227.83"/>
    <n v="850"/>
    <x v="3"/>
    <x v="1"/>
    <n v="0"/>
    <s v="N/A"/>
    <s v="None"/>
    <n v="0"/>
    <n v="17"/>
    <n v="4300.5600000000004"/>
    <n v="24.1"/>
    <x v="0"/>
    <x v="2"/>
    <x v="1"/>
    <n v="338"/>
    <x v="1"/>
  </r>
  <r>
    <x v="676"/>
    <n v="27"/>
    <s v="Female"/>
    <s v="Widowed"/>
    <x v="1"/>
    <s v="Branch-Riverside"/>
    <s v="Self-Employed"/>
    <s v="2020-11-21"/>
    <n v="5.6"/>
    <x v="1"/>
    <n v="5"/>
    <n v="13496.06"/>
    <n v="47192.26"/>
    <n v="785"/>
    <x v="2"/>
    <x v="1"/>
    <n v="0"/>
    <s v="N/A"/>
    <s v="Credit Only"/>
    <n v="76409.240000000005"/>
    <n v="45"/>
    <n v="13295.78"/>
    <n v="36.700000000000003"/>
    <x v="0"/>
    <x v="2"/>
    <x v="0"/>
    <n v="79"/>
    <x v="1"/>
  </r>
  <r>
    <x v="677"/>
    <n v="57"/>
    <s v="Female"/>
    <s v="Widowed"/>
    <x v="2"/>
    <s v="Branch-Greenfield"/>
    <s v="Business Owner"/>
    <s v="2023-02-13"/>
    <n v="3.4"/>
    <x v="2"/>
    <n v="5"/>
    <n v="98208.12"/>
    <n v="23632.59"/>
    <n v="593"/>
    <x v="0"/>
    <x v="3"/>
    <n v="1537452.84"/>
    <s v="Closed"/>
    <s v="Debit Only"/>
    <n v="0"/>
    <n v="21"/>
    <n v="3330.47"/>
    <n v="55.6"/>
    <x v="0"/>
    <x v="4"/>
    <x v="0"/>
    <n v="143"/>
    <x v="0"/>
  </r>
  <r>
    <x v="678"/>
    <n v="74"/>
    <s v="Female"/>
    <s v="Divorced"/>
    <x v="0"/>
    <s v="Branch-Southpark"/>
    <s v="Salaried"/>
    <s v="2021-01-11"/>
    <n v="5.5"/>
    <x v="1"/>
    <n v="2"/>
    <n v="0"/>
    <n v="15380.64"/>
    <n v="673"/>
    <x v="1"/>
    <x v="4"/>
    <n v="1784062.61"/>
    <s v="Active"/>
    <s v="Debit Only"/>
    <n v="0"/>
    <n v="0"/>
    <n v="14466.67"/>
    <n v="35.1"/>
    <x v="1"/>
    <x v="2"/>
    <x v="1"/>
    <n v="119"/>
    <x v="0"/>
  </r>
  <r>
    <x v="679"/>
    <n v="32"/>
    <s v="Male"/>
    <s v="Single"/>
    <x v="3"/>
    <s v="Branch-Eastwood"/>
    <s v="Student"/>
    <s v="2023-08-12"/>
    <n v="2.9"/>
    <x v="1"/>
    <n v="1"/>
    <n v="154791.67000000001"/>
    <n v="42427.07"/>
    <n v="659"/>
    <x v="0"/>
    <x v="0"/>
    <n v="903595.86"/>
    <s v="Closed"/>
    <s v="Both"/>
    <n v="393539.71"/>
    <n v="25"/>
    <n v="11052.87"/>
    <n v="14.4"/>
    <x v="0"/>
    <x v="1"/>
    <x v="2"/>
    <n v="71"/>
    <x v="1"/>
  </r>
  <r>
    <x v="680"/>
    <n v="35"/>
    <s v="Male"/>
    <s v="Single"/>
    <x v="4"/>
    <s v="Branch-Southpark"/>
    <s v="Student"/>
    <s v="2024-12-18"/>
    <n v="1.5"/>
    <x v="1"/>
    <n v="3"/>
    <n v="6724.33"/>
    <n v="54132.83"/>
    <n v="639"/>
    <x v="0"/>
    <x v="1"/>
    <n v="0"/>
    <s v="N/A"/>
    <s v="Both"/>
    <n v="98412.07"/>
    <n v="12"/>
    <n v="14824.72"/>
    <n v="31.9"/>
    <x v="0"/>
    <x v="0"/>
    <x v="4"/>
    <n v="141"/>
    <x v="0"/>
  </r>
  <r>
    <x v="681"/>
    <n v="75"/>
    <s v="Male"/>
    <s v="Divorced"/>
    <x v="1"/>
    <s v="Branch-Southpark"/>
    <s v="Freelancer"/>
    <s v="2024-12-07"/>
    <n v="1.6"/>
    <x v="0"/>
    <n v="1"/>
    <n v="162106.75"/>
    <n v="21560.89"/>
    <n v="820"/>
    <x v="3"/>
    <x v="0"/>
    <n v="1585378.81"/>
    <s v="Active"/>
    <s v="Both"/>
    <n v="70160.759999999995"/>
    <n v="44"/>
    <n v="1189.69"/>
    <n v="9.8000000000000007"/>
    <x v="1"/>
    <x v="4"/>
    <x v="2"/>
    <n v="312"/>
    <x v="1"/>
  </r>
  <r>
    <x v="682"/>
    <n v="76"/>
    <s v="Male"/>
    <s v="Single"/>
    <x v="0"/>
    <s v="Branch-Westfield"/>
    <s v="Student"/>
    <s v="2022-11-19"/>
    <n v="3.6"/>
    <x v="3"/>
    <n v="4"/>
    <n v="0"/>
    <n v="8000"/>
    <n v="613"/>
    <x v="0"/>
    <x v="2"/>
    <n v="1620138.35"/>
    <s v="Active"/>
    <s v="Debit Only"/>
    <n v="0"/>
    <n v="11"/>
    <n v="459.72"/>
    <n v="97"/>
    <x v="4"/>
    <x v="1"/>
    <x v="1"/>
    <n v="349"/>
    <x v="0"/>
  </r>
  <r>
    <x v="683"/>
    <n v="45"/>
    <s v="Female"/>
    <s v="Divorced"/>
    <x v="3"/>
    <s v="Branch-Hillcrest"/>
    <s v="Business Owner"/>
    <s v="2021-06-05"/>
    <n v="5.0999999999999996"/>
    <x v="0"/>
    <n v="5"/>
    <n v="0"/>
    <n v="15460.52"/>
    <n v="680"/>
    <x v="1"/>
    <x v="3"/>
    <n v="1183778.8600000001"/>
    <s v="Closed"/>
    <s v="Both"/>
    <n v="477234.93"/>
    <n v="31"/>
    <n v="5966.5"/>
    <n v="31.3"/>
    <x v="4"/>
    <x v="0"/>
    <x v="4"/>
    <n v="216"/>
    <x v="0"/>
  </r>
  <r>
    <x v="684"/>
    <n v="21"/>
    <s v="Female"/>
    <s v="Single"/>
    <x v="0"/>
    <s v="Branch-Greenfield"/>
    <s v="Freelancer"/>
    <s v="2023-01-30"/>
    <n v="3.4"/>
    <x v="2"/>
    <n v="3"/>
    <n v="33435.839999999997"/>
    <n v="10952.16"/>
    <n v="475"/>
    <x v="4"/>
    <x v="1"/>
    <n v="0"/>
    <s v="N/A"/>
    <s v="Credit Only"/>
    <n v="485254.96"/>
    <n v="31"/>
    <n v="9272.56"/>
    <n v="11.2"/>
    <x v="0"/>
    <x v="4"/>
    <x v="1"/>
    <n v="391"/>
    <x v="0"/>
  </r>
  <r>
    <x v="685"/>
    <n v="40"/>
    <s v="Male"/>
    <s v="Widowed"/>
    <x v="4"/>
    <s v="Branch-Oakridge"/>
    <s v="Retired"/>
    <s v="2025-04-11"/>
    <n v="1.2"/>
    <x v="4"/>
    <n v="4"/>
    <n v="15579.52"/>
    <n v="32017.08"/>
    <n v="818"/>
    <x v="3"/>
    <x v="1"/>
    <n v="0"/>
    <s v="N/A"/>
    <s v="Debit Only"/>
    <n v="0"/>
    <n v="13"/>
    <n v="256.02999999999997"/>
    <n v="51.1"/>
    <x v="0"/>
    <x v="4"/>
    <x v="4"/>
    <n v="374"/>
    <x v="0"/>
  </r>
  <r>
    <x v="686"/>
    <n v="34"/>
    <s v="Female"/>
    <s v="Married"/>
    <x v="2"/>
    <s v="Branch-Southpark"/>
    <s v="Retired"/>
    <s v="2020-10-29"/>
    <n v="5.7"/>
    <x v="2"/>
    <n v="2"/>
    <n v="14304.57"/>
    <n v="57235.54"/>
    <n v="778"/>
    <x v="2"/>
    <x v="4"/>
    <n v="1511056.05"/>
    <s v="Closed"/>
    <s v="Both"/>
    <n v="439578.51"/>
    <n v="22"/>
    <n v="1619.04"/>
    <n v="74.599999999999994"/>
    <x v="4"/>
    <x v="2"/>
    <x v="4"/>
    <n v="363"/>
    <x v="0"/>
  </r>
  <r>
    <x v="687"/>
    <n v="41"/>
    <s v="Male"/>
    <s v="Married"/>
    <x v="1"/>
    <s v="Branch-Hillcrest"/>
    <s v="Freelancer"/>
    <s v="2023-09-17"/>
    <n v="2.8"/>
    <x v="4"/>
    <n v="1"/>
    <n v="41995.14"/>
    <n v="41387.050000000003"/>
    <n v="724"/>
    <x v="1"/>
    <x v="1"/>
    <n v="0"/>
    <s v="N/A"/>
    <s v="Debit Only"/>
    <n v="0"/>
    <n v="21"/>
    <n v="9084.4500000000007"/>
    <n v="49.7"/>
    <x v="0"/>
    <x v="4"/>
    <x v="0"/>
    <n v="158"/>
    <x v="0"/>
  </r>
  <r>
    <x v="688"/>
    <n v="56"/>
    <s v="Male"/>
    <s v="Single"/>
    <x v="3"/>
    <s v="Branch-Westfield"/>
    <s v="Retired"/>
    <s v="2022-12-20"/>
    <n v="3.5"/>
    <x v="2"/>
    <n v="1"/>
    <n v="0"/>
    <n v="15471.23"/>
    <n v="538"/>
    <x v="4"/>
    <x v="1"/>
    <n v="0"/>
    <s v="N/A"/>
    <s v="Both"/>
    <n v="174438.07"/>
    <n v="26"/>
    <n v="10486.37"/>
    <n v="62.3"/>
    <x v="3"/>
    <x v="2"/>
    <x v="1"/>
    <n v="261"/>
    <x v="1"/>
  </r>
  <r>
    <x v="689"/>
    <n v="56"/>
    <s v="Male"/>
    <s v="Single"/>
    <x v="3"/>
    <s v="Branch-Lakeview"/>
    <s v="Business Owner"/>
    <s v="2019-08-12"/>
    <n v="6.9"/>
    <x v="2"/>
    <n v="3"/>
    <n v="0"/>
    <n v="56761.58"/>
    <n v="639"/>
    <x v="0"/>
    <x v="5"/>
    <n v="2351975.85"/>
    <s v="Active"/>
    <s v="Credit Only"/>
    <n v="63856.54"/>
    <n v="33"/>
    <n v="3068.93"/>
    <n v="19.7"/>
    <x v="0"/>
    <x v="3"/>
    <x v="4"/>
    <n v="146"/>
    <x v="0"/>
  </r>
  <r>
    <x v="690"/>
    <n v="39"/>
    <s v="Male"/>
    <s v="Widowed"/>
    <x v="3"/>
    <s v="Branch-Westfield"/>
    <s v="Retired"/>
    <s v="2019-04-11"/>
    <n v="7.2"/>
    <x v="3"/>
    <n v="1"/>
    <n v="75712.39"/>
    <n v="54526.59"/>
    <n v="561"/>
    <x v="4"/>
    <x v="2"/>
    <n v="2214825.0099999998"/>
    <s v="Active"/>
    <s v="Credit Only"/>
    <n v="209233.04"/>
    <n v="27"/>
    <n v="2242.33"/>
    <n v="87.3"/>
    <x v="1"/>
    <x v="4"/>
    <x v="2"/>
    <n v="153"/>
    <x v="1"/>
  </r>
  <r>
    <x v="691"/>
    <n v="31"/>
    <s v="Female"/>
    <s v="Divorced"/>
    <x v="3"/>
    <s v="Branch-Lakeview"/>
    <s v="Business Owner"/>
    <s v="2024-06-12"/>
    <n v="2"/>
    <x v="1"/>
    <n v="2"/>
    <n v="49260.85"/>
    <n v="77048.710000000006"/>
    <n v="664"/>
    <x v="0"/>
    <x v="4"/>
    <n v="1799023.19"/>
    <s v="Active"/>
    <s v="Both"/>
    <n v="463774.83"/>
    <n v="16"/>
    <n v="9678.09"/>
    <n v="24"/>
    <x v="1"/>
    <x v="0"/>
    <x v="4"/>
    <n v="50"/>
    <x v="0"/>
  </r>
  <r>
    <x v="692"/>
    <n v="21"/>
    <s v="Male"/>
    <s v="Widowed"/>
    <x v="4"/>
    <s v="Branch-Harborview"/>
    <s v="Freelancer"/>
    <s v="2021-04-30"/>
    <n v="5.2"/>
    <x v="2"/>
    <n v="1"/>
    <n v="0"/>
    <n v="16816.580000000002"/>
    <n v="712"/>
    <x v="1"/>
    <x v="3"/>
    <n v="831809.57"/>
    <s v="Active"/>
    <s v="None"/>
    <n v="0"/>
    <n v="31"/>
    <n v="6080.71"/>
    <n v="95.4"/>
    <x v="0"/>
    <x v="3"/>
    <x v="1"/>
    <n v="227"/>
    <x v="0"/>
  </r>
  <r>
    <x v="693"/>
    <n v="40"/>
    <s v="Male"/>
    <s v="Divorced"/>
    <x v="2"/>
    <s v="Branch-Midtown"/>
    <s v="Retired"/>
    <s v="2022-08-01"/>
    <n v="3.9"/>
    <x v="1"/>
    <n v="4"/>
    <n v="0"/>
    <n v="17525.05"/>
    <n v="553"/>
    <x v="4"/>
    <x v="1"/>
    <n v="0"/>
    <s v="N/A"/>
    <s v="Credit Only"/>
    <n v="429996.21"/>
    <n v="27"/>
    <n v="9934.24"/>
    <n v="36.4"/>
    <x v="4"/>
    <x v="2"/>
    <x v="4"/>
    <n v="392"/>
    <x v="0"/>
  </r>
  <r>
    <x v="694"/>
    <n v="19"/>
    <s v="Female"/>
    <s v="Married"/>
    <x v="3"/>
    <s v="Branch-Oakridge"/>
    <s v="Freelancer"/>
    <s v="2018-04-19"/>
    <n v="8.1999999999999993"/>
    <x v="2"/>
    <n v="1"/>
    <n v="98238.44"/>
    <n v="48311.25"/>
    <n v="615"/>
    <x v="0"/>
    <x v="1"/>
    <n v="0"/>
    <s v="N/A"/>
    <s v="Debit Only"/>
    <n v="0"/>
    <n v="55"/>
    <n v="4826.7299999999996"/>
    <n v="60.8"/>
    <x v="1"/>
    <x v="2"/>
    <x v="4"/>
    <n v="170"/>
    <x v="0"/>
  </r>
  <r>
    <x v="695"/>
    <n v="58"/>
    <s v="Male"/>
    <s v="Divorced"/>
    <x v="4"/>
    <s v="Branch-Harborview"/>
    <s v="Business Owner"/>
    <s v="2025-07-01"/>
    <n v="1"/>
    <x v="2"/>
    <n v="3"/>
    <n v="169763.20000000001"/>
    <n v="50138.28"/>
    <n v="689"/>
    <x v="1"/>
    <x v="0"/>
    <n v="1443570.64"/>
    <s v="Closed"/>
    <s v="Both"/>
    <n v="390428.06"/>
    <n v="46"/>
    <n v="7517.74"/>
    <n v="18.3"/>
    <x v="1"/>
    <x v="0"/>
    <x v="0"/>
    <n v="157"/>
    <x v="0"/>
  </r>
  <r>
    <x v="696"/>
    <n v="72"/>
    <s v="Female"/>
    <s v="Married"/>
    <x v="3"/>
    <s v="Branch-Southpark"/>
    <s v="Student"/>
    <s v="2021-08-22"/>
    <n v="4.9000000000000004"/>
    <x v="4"/>
    <n v="5"/>
    <n v="14342.87"/>
    <n v="29711.07"/>
    <n v="827"/>
    <x v="3"/>
    <x v="4"/>
    <n v="1735073.68"/>
    <s v="Closed"/>
    <s v="Credit Only"/>
    <n v="189990.39"/>
    <n v="36"/>
    <n v="4084.87"/>
    <n v="29"/>
    <x v="4"/>
    <x v="1"/>
    <x v="2"/>
    <n v="56"/>
    <x v="1"/>
  </r>
  <r>
    <x v="697"/>
    <n v="55"/>
    <s v="Female"/>
    <s v="Single"/>
    <x v="3"/>
    <s v="Branch-Southpark"/>
    <s v="Freelancer"/>
    <s v="2022-07-06"/>
    <n v="4"/>
    <x v="3"/>
    <n v="2"/>
    <n v="76550.320000000007"/>
    <n v="57655.44"/>
    <n v="545"/>
    <x v="4"/>
    <x v="1"/>
    <n v="0"/>
    <s v="N/A"/>
    <s v="Credit Only"/>
    <n v="275570.62"/>
    <n v="40"/>
    <n v="4890.18"/>
    <n v="67"/>
    <x v="4"/>
    <x v="2"/>
    <x v="1"/>
    <n v="178"/>
    <x v="0"/>
  </r>
  <r>
    <x v="698"/>
    <n v="75"/>
    <s v="Female"/>
    <s v="Single"/>
    <x v="2"/>
    <s v="Branch-Greenfield"/>
    <s v="Salaried"/>
    <s v="2021-12-22"/>
    <n v="4.5"/>
    <x v="1"/>
    <n v="1"/>
    <n v="0"/>
    <n v="45960.9"/>
    <n v="551"/>
    <x v="4"/>
    <x v="1"/>
    <n v="0"/>
    <s v="N/A"/>
    <s v="Debit Only"/>
    <n v="0"/>
    <n v="21"/>
    <n v="3746.65"/>
    <n v="77.2"/>
    <x v="1"/>
    <x v="0"/>
    <x v="1"/>
    <n v="306"/>
    <x v="0"/>
  </r>
  <r>
    <x v="699"/>
    <n v="20"/>
    <s v="Male"/>
    <s v="Single"/>
    <x v="3"/>
    <s v="Branch-Oakridge"/>
    <s v="Freelancer"/>
    <s v="2019-10-07"/>
    <n v="6.7"/>
    <x v="2"/>
    <n v="4"/>
    <n v="69531.94"/>
    <n v="51322.37"/>
    <n v="512"/>
    <x v="4"/>
    <x v="3"/>
    <n v="2444024.1"/>
    <s v="Active"/>
    <s v="Both"/>
    <n v="358700.36"/>
    <n v="28"/>
    <n v="13783.06"/>
    <n v="24.2"/>
    <x v="0"/>
    <x v="3"/>
    <x v="4"/>
    <n v="343"/>
    <x v="0"/>
  </r>
  <r>
    <x v="700"/>
    <n v="43"/>
    <s v="Male"/>
    <s v="Divorced"/>
    <x v="4"/>
    <s v="Branch-Northgate"/>
    <s v="Business Owner"/>
    <s v="2022-05-25"/>
    <n v="4.0999999999999996"/>
    <x v="2"/>
    <n v="2"/>
    <n v="126121.16"/>
    <n v="19284.95"/>
    <n v="653"/>
    <x v="0"/>
    <x v="4"/>
    <n v="969739.27"/>
    <s v="Active"/>
    <s v="Credit Only"/>
    <n v="140998"/>
    <n v="8"/>
    <n v="2003.03"/>
    <n v="40.6"/>
    <x v="0"/>
    <x v="0"/>
    <x v="0"/>
    <n v="203"/>
    <x v="0"/>
  </r>
  <r>
    <x v="701"/>
    <n v="61"/>
    <s v="Male"/>
    <s v="Divorced"/>
    <x v="2"/>
    <s v="Branch-Oakridge"/>
    <s v="Student"/>
    <s v="2024-06-30"/>
    <n v="2"/>
    <x v="3"/>
    <n v="2"/>
    <n v="0"/>
    <n v="62151.59"/>
    <n v="590"/>
    <x v="0"/>
    <x v="1"/>
    <n v="0"/>
    <s v="N/A"/>
    <s v="Credit Only"/>
    <n v="346344.87"/>
    <n v="39"/>
    <n v="13128.79"/>
    <n v="6.2"/>
    <x v="4"/>
    <x v="4"/>
    <x v="4"/>
    <n v="101"/>
    <x v="1"/>
  </r>
  <r>
    <x v="702"/>
    <n v="63"/>
    <s v="Female"/>
    <s v="Widowed"/>
    <x v="1"/>
    <s v="Branch-Southpark"/>
    <s v="Salaried"/>
    <s v="2022-01-14"/>
    <n v="4.5"/>
    <x v="1"/>
    <n v="1"/>
    <n v="0"/>
    <n v="40457.660000000003"/>
    <n v="757"/>
    <x v="2"/>
    <x v="0"/>
    <n v="553569.82999999996"/>
    <s v="Active"/>
    <s v="None"/>
    <n v="0"/>
    <n v="30"/>
    <n v="2374.86"/>
    <n v="22.3"/>
    <x v="0"/>
    <x v="0"/>
    <x v="4"/>
    <n v="14"/>
    <x v="1"/>
  </r>
  <r>
    <x v="703"/>
    <n v="25"/>
    <s v="Male"/>
    <s v="Single"/>
    <x v="4"/>
    <s v="Branch-Oakridge"/>
    <s v="Salaried"/>
    <s v="2024-10-27"/>
    <n v="1.7"/>
    <x v="1"/>
    <n v="5"/>
    <n v="27261.9"/>
    <n v="110304.75"/>
    <n v="771"/>
    <x v="2"/>
    <x v="1"/>
    <n v="0"/>
    <s v="N/A"/>
    <s v="None"/>
    <n v="0"/>
    <n v="37"/>
    <n v="6927.78"/>
    <n v="11.9"/>
    <x v="0"/>
    <x v="4"/>
    <x v="3"/>
    <n v="155"/>
    <x v="0"/>
  </r>
  <r>
    <x v="704"/>
    <n v="73"/>
    <s v="Male"/>
    <s v="Divorced"/>
    <x v="3"/>
    <s v="Branch-Midtown"/>
    <s v="Business Owner"/>
    <s v="2023-05-17"/>
    <n v="3.1"/>
    <x v="0"/>
    <n v="3"/>
    <n v="24145.79"/>
    <n v="10464.86"/>
    <n v="759"/>
    <x v="2"/>
    <x v="1"/>
    <n v="0"/>
    <s v="N/A"/>
    <s v="Credit Only"/>
    <n v="78870.42"/>
    <n v="31"/>
    <n v="683.78"/>
    <n v="76.599999999999994"/>
    <x v="0"/>
    <x v="2"/>
    <x v="0"/>
    <n v="303"/>
    <x v="0"/>
  </r>
  <r>
    <x v="705"/>
    <n v="70"/>
    <s v="Female"/>
    <s v="Married"/>
    <x v="2"/>
    <s v="Branch-Riverside"/>
    <s v="Salaried"/>
    <s v="2024-02-02"/>
    <n v="2.4"/>
    <x v="1"/>
    <n v="2"/>
    <n v="60916.42"/>
    <n v="12051.06"/>
    <n v="761"/>
    <x v="2"/>
    <x v="1"/>
    <n v="0"/>
    <s v="N/A"/>
    <s v="Credit Only"/>
    <n v="141468.65"/>
    <n v="3"/>
    <n v="3531.58"/>
    <n v="36.299999999999997"/>
    <x v="1"/>
    <x v="1"/>
    <x v="0"/>
    <n v="228"/>
    <x v="0"/>
  </r>
  <r>
    <x v="706"/>
    <n v="47"/>
    <s v="Female"/>
    <s v="Widowed"/>
    <x v="1"/>
    <s v="Branch-Riverside"/>
    <s v="Business Owner"/>
    <s v="2022-10-31"/>
    <n v="3.7"/>
    <x v="0"/>
    <n v="5"/>
    <n v="115174.82"/>
    <n v="58109.43"/>
    <n v="719"/>
    <x v="1"/>
    <x v="4"/>
    <n v="703659.5"/>
    <s v="Closed"/>
    <s v="None"/>
    <n v="0"/>
    <n v="49"/>
    <n v="4637.91"/>
    <n v="34"/>
    <x v="3"/>
    <x v="0"/>
    <x v="1"/>
    <n v="183"/>
    <x v="0"/>
  </r>
  <r>
    <x v="707"/>
    <n v="75"/>
    <s v="Female"/>
    <s v="Married"/>
    <x v="2"/>
    <s v="Branch-Downtown"/>
    <s v="Self-Employed"/>
    <s v="2019-06-08"/>
    <n v="7.1"/>
    <x v="1"/>
    <n v="1"/>
    <n v="0"/>
    <n v="28140.65"/>
    <n v="720"/>
    <x v="1"/>
    <x v="1"/>
    <n v="0"/>
    <s v="N/A"/>
    <s v="None"/>
    <n v="0"/>
    <n v="55"/>
    <n v="10365.469999999999"/>
    <n v="49.9"/>
    <x v="0"/>
    <x v="4"/>
    <x v="4"/>
    <n v="58"/>
    <x v="1"/>
  </r>
  <r>
    <x v="708"/>
    <n v="62"/>
    <s v="Male"/>
    <s v="Married"/>
    <x v="3"/>
    <s v="Branch-Southpark"/>
    <s v="Salaried"/>
    <s v="2019-05-02"/>
    <n v="7.2"/>
    <x v="3"/>
    <n v="5"/>
    <n v="0"/>
    <n v="16930.45"/>
    <n v="799"/>
    <x v="2"/>
    <x v="1"/>
    <n v="0"/>
    <s v="N/A"/>
    <s v="Debit Only"/>
    <n v="0"/>
    <n v="2"/>
    <n v="12311.3"/>
    <n v="90.4"/>
    <x v="2"/>
    <x v="0"/>
    <x v="2"/>
    <n v="102"/>
    <x v="0"/>
  </r>
  <r>
    <x v="709"/>
    <n v="62"/>
    <s v="Male"/>
    <s v="Single"/>
    <x v="4"/>
    <s v="Branch-Northgate"/>
    <s v="Self-Employed"/>
    <s v="2024-11-24"/>
    <n v="1.6"/>
    <x v="3"/>
    <n v="5"/>
    <n v="93578.89"/>
    <n v="28161.1"/>
    <n v="697"/>
    <x v="1"/>
    <x v="5"/>
    <n v="2179671.79"/>
    <s v="Active"/>
    <s v="Both"/>
    <n v="459520.44"/>
    <n v="0"/>
    <n v="708.7"/>
    <n v="12.7"/>
    <x v="0"/>
    <x v="3"/>
    <x v="0"/>
    <n v="150"/>
    <x v="0"/>
  </r>
  <r>
    <x v="710"/>
    <n v="23"/>
    <s v="Female"/>
    <s v="Married"/>
    <x v="3"/>
    <s v="Branch-Westfield"/>
    <s v="Retired"/>
    <s v="2018-10-22"/>
    <n v="7.7"/>
    <x v="3"/>
    <n v="4"/>
    <n v="39458.78"/>
    <n v="52681.51"/>
    <n v="698"/>
    <x v="1"/>
    <x v="1"/>
    <n v="0"/>
    <s v="N/A"/>
    <s v="Credit Only"/>
    <n v="33115.019999999997"/>
    <n v="14"/>
    <n v="8477.33"/>
    <n v="33.4"/>
    <x v="0"/>
    <x v="1"/>
    <x v="0"/>
    <n v="67"/>
    <x v="0"/>
  </r>
  <r>
    <x v="711"/>
    <n v="46"/>
    <s v="Female"/>
    <s v="Divorced"/>
    <x v="4"/>
    <s v="Branch-Greenfield"/>
    <s v="Freelancer"/>
    <s v="2021-01-31"/>
    <n v="5.4"/>
    <x v="4"/>
    <n v="2"/>
    <n v="0"/>
    <n v="43208.23"/>
    <n v="702"/>
    <x v="1"/>
    <x v="1"/>
    <n v="0"/>
    <s v="N/A"/>
    <s v="Credit Only"/>
    <n v="357042.91"/>
    <n v="18"/>
    <n v="248.8"/>
    <n v="54.7"/>
    <x v="0"/>
    <x v="0"/>
    <x v="1"/>
    <n v="13"/>
    <x v="0"/>
  </r>
  <r>
    <x v="712"/>
    <n v="56"/>
    <s v="Male"/>
    <s v="Married"/>
    <x v="3"/>
    <s v="Branch-Westfield"/>
    <s v="Self-Employed"/>
    <s v="2022-11-20"/>
    <n v="3.6"/>
    <x v="1"/>
    <n v="2"/>
    <n v="122786.91"/>
    <n v="60500.91"/>
    <n v="615"/>
    <x v="0"/>
    <x v="5"/>
    <n v="1442866.94"/>
    <s v="Closed"/>
    <s v="Both"/>
    <n v="495199.36"/>
    <n v="19"/>
    <n v="10300.450000000001"/>
    <n v="44.2"/>
    <x v="0"/>
    <x v="0"/>
    <x v="1"/>
    <n v="242"/>
    <x v="1"/>
  </r>
  <r>
    <x v="713"/>
    <n v="29"/>
    <s v="Male"/>
    <s v="Single"/>
    <x v="1"/>
    <s v="Branch-Harborview"/>
    <s v="Student"/>
    <s v="2019-01-01"/>
    <n v="7.5"/>
    <x v="2"/>
    <n v="2"/>
    <n v="23553.95"/>
    <n v="34400.199999999997"/>
    <n v="679"/>
    <x v="1"/>
    <x v="3"/>
    <n v="1317216.83"/>
    <s v="Active"/>
    <s v="Debit Only"/>
    <n v="0"/>
    <n v="28"/>
    <n v="7512.41"/>
    <n v="58.1"/>
    <x v="1"/>
    <x v="4"/>
    <x v="2"/>
    <n v="317"/>
    <x v="0"/>
  </r>
  <r>
    <x v="714"/>
    <n v="21"/>
    <s v="Female"/>
    <s v="Divorced"/>
    <x v="2"/>
    <s v="Branch-Midtown"/>
    <s v="Salaried"/>
    <s v="2018-11-23"/>
    <n v="7.6"/>
    <x v="2"/>
    <n v="4"/>
    <n v="66504.710000000006"/>
    <n v="66090.19"/>
    <n v="635"/>
    <x v="0"/>
    <x v="1"/>
    <n v="0"/>
    <s v="N/A"/>
    <s v="Credit Only"/>
    <n v="204875.37"/>
    <n v="1"/>
    <n v="12958.82"/>
    <n v="11.3"/>
    <x v="1"/>
    <x v="1"/>
    <x v="3"/>
    <n v="247"/>
    <x v="0"/>
  </r>
  <r>
    <x v="715"/>
    <n v="77"/>
    <s v="Male"/>
    <s v="Married"/>
    <x v="4"/>
    <s v="Branch-Harborview"/>
    <s v="Freelancer"/>
    <s v="2022-02-22"/>
    <n v="4.4000000000000004"/>
    <x v="1"/>
    <n v="3"/>
    <n v="96343.56"/>
    <n v="44638.98"/>
    <n v="616"/>
    <x v="0"/>
    <x v="1"/>
    <n v="0"/>
    <s v="N/A"/>
    <s v="None"/>
    <n v="0"/>
    <n v="5"/>
    <n v="13948.22"/>
    <n v="36.5"/>
    <x v="0"/>
    <x v="3"/>
    <x v="1"/>
    <n v="322"/>
    <x v="1"/>
  </r>
  <r>
    <x v="716"/>
    <n v="64"/>
    <s v="Male"/>
    <s v="Single"/>
    <x v="0"/>
    <s v="Branch-Downtown"/>
    <s v="Business Owner"/>
    <s v="2022-04-09"/>
    <n v="4.2"/>
    <x v="1"/>
    <n v="5"/>
    <n v="83712.429999999993"/>
    <n v="19892.12"/>
    <n v="699"/>
    <x v="1"/>
    <x v="1"/>
    <n v="0"/>
    <s v="N/A"/>
    <s v="Both"/>
    <n v="301882.92"/>
    <n v="7"/>
    <n v="5279.16"/>
    <n v="1.3"/>
    <x v="0"/>
    <x v="2"/>
    <x v="4"/>
    <n v="136"/>
    <x v="0"/>
  </r>
  <r>
    <x v="717"/>
    <n v="37"/>
    <s v="Male"/>
    <s v="Widowed"/>
    <x v="1"/>
    <s v="Branch-Lakeview"/>
    <s v="Student"/>
    <s v="2023-11-04"/>
    <n v="2.7"/>
    <x v="4"/>
    <n v="2"/>
    <n v="119115.03"/>
    <n v="52058.22"/>
    <n v="850"/>
    <x v="3"/>
    <x v="2"/>
    <n v="2267549.27"/>
    <s v="Defaulted"/>
    <s v="Credit Only"/>
    <n v="98012.62"/>
    <n v="47"/>
    <n v="12038.92"/>
    <n v="93.2"/>
    <x v="1"/>
    <x v="3"/>
    <x v="3"/>
    <n v="350"/>
    <x v="0"/>
  </r>
  <r>
    <x v="718"/>
    <n v="65"/>
    <s v="Male"/>
    <s v="Single"/>
    <x v="1"/>
    <s v="Branch-Riverside"/>
    <s v="Self-Employed"/>
    <s v="2019-08-09"/>
    <n v="6.9"/>
    <x v="1"/>
    <n v="1"/>
    <n v="65488.959999999999"/>
    <n v="43146.94"/>
    <n v="668"/>
    <x v="0"/>
    <x v="3"/>
    <n v="1058287.52"/>
    <s v="Closed"/>
    <s v="Credit Only"/>
    <n v="330036.90000000002"/>
    <n v="28"/>
    <n v="5089.1099999999997"/>
    <n v="87.2"/>
    <x v="0"/>
    <x v="0"/>
    <x v="0"/>
    <n v="271"/>
    <x v="0"/>
  </r>
  <r>
    <x v="719"/>
    <n v="37"/>
    <s v="Female"/>
    <s v="Married"/>
    <x v="1"/>
    <s v="Branch-Westfield"/>
    <s v="Student"/>
    <s v="2021-04-25"/>
    <n v="5.2"/>
    <x v="3"/>
    <n v="2"/>
    <n v="83050.16"/>
    <n v="21282.68"/>
    <n v="643"/>
    <x v="0"/>
    <x v="1"/>
    <n v="0"/>
    <s v="N/A"/>
    <s v="None"/>
    <n v="0"/>
    <n v="38"/>
    <n v="2879.12"/>
    <n v="58.3"/>
    <x v="0"/>
    <x v="1"/>
    <x v="4"/>
    <n v="158"/>
    <x v="0"/>
  </r>
  <r>
    <x v="720"/>
    <n v="71"/>
    <s v="Male"/>
    <s v="Married"/>
    <x v="4"/>
    <s v="Branch-Midtown"/>
    <s v="Retired"/>
    <s v="2019-06-26"/>
    <n v="7"/>
    <x v="3"/>
    <n v="2"/>
    <n v="0"/>
    <n v="50629.39"/>
    <n v="714"/>
    <x v="1"/>
    <x v="1"/>
    <n v="0"/>
    <s v="N/A"/>
    <s v="None"/>
    <n v="0"/>
    <n v="35"/>
    <n v="705.3"/>
    <n v="92.1"/>
    <x v="0"/>
    <x v="0"/>
    <x v="0"/>
    <n v="66"/>
    <x v="0"/>
  </r>
  <r>
    <x v="721"/>
    <n v="62"/>
    <s v="Male"/>
    <s v="Widowed"/>
    <x v="2"/>
    <s v="Branch-Hillcrest"/>
    <s v="Student"/>
    <s v="2026-01-18"/>
    <n v="0.4"/>
    <x v="2"/>
    <n v="1"/>
    <n v="89779.18"/>
    <n v="8000"/>
    <n v="627"/>
    <x v="0"/>
    <x v="5"/>
    <n v="245093.24"/>
    <s v="Active"/>
    <s v="Credit Only"/>
    <n v="252402.8"/>
    <n v="13"/>
    <n v="4438.07"/>
    <n v="57.1"/>
    <x v="1"/>
    <x v="4"/>
    <x v="1"/>
    <n v="299"/>
    <x v="0"/>
  </r>
  <r>
    <x v="722"/>
    <n v="19"/>
    <s v="Male"/>
    <s v="Married"/>
    <x v="1"/>
    <s v="Branch-Northgate"/>
    <s v="Freelancer"/>
    <s v="2018-10-19"/>
    <n v="7.7"/>
    <x v="4"/>
    <n v="2"/>
    <n v="94368.57"/>
    <n v="78676.14"/>
    <n v="604"/>
    <x v="0"/>
    <x v="1"/>
    <n v="0"/>
    <s v="N/A"/>
    <s v="None"/>
    <n v="0"/>
    <n v="25"/>
    <n v="11682.2"/>
    <n v="15.7"/>
    <x v="1"/>
    <x v="0"/>
    <x v="1"/>
    <n v="398"/>
    <x v="0"/>
  </r>
  <r>
    <x v="723"/>
    <n v="36"/>
    <s v="Male"/>
    <s v="Divorced"/>
    <x v="0"/>
    <s v="Branch-Westfield"/>
    <s v="Self-Employed"/>
    <s v="2025-05-20"/>
    <n v="1.1000000000000001"/>
    <x v="4"/>
    <n v="2"/>
    <n v="68273.58"/>
    <n v="51620.23"/>
    <n v="478"/>
    <x v="4"/>
    <x v="1"/>
    <n v="0"/>
    <s v="N/A"/>
    <s v="Debit Only"/>
    <n v="0"/>
    <n v="38"/>
    <n v="11151.03"/>
    <n v="99.3"/>
    <x v="0"/>
    <x v="0"/>
    <x v="4"/>
    <n v="309"/>
    <x v="1"/>
  </r>
  <r>
    <x v="724"/>
    <n v="42"/>
    <s v="Female"/>
    <s v="Married"/>
    <x v="3"/>
    <s v="Branch-Northgate"/>
    <s v="Salaried"/>
    <s v="2019-03-17"/>
    <n v="7.3"/>
    <x v="2"/>
    <n v="4"/>
    <n v="15389.43"/>
    <n v="50831.21"/>
    <n v="632"/>
    <x v="0"/>
    <x v="3"/>
    <n v="894635.77"/>
    <s v="Closed"/>
    <s v="None"/>
    <n v="0"/>
    <n v="26"/>
    <n v="4023.98"/>
    <n v="65.900000000000006"/>
    <x v="0"/>
    <x v="2"/>
    <x v="3"/>
    <n v="96"/>
    <x v="0"/>
  </r>
  <r>
    <x v="725"/>
    <n v="42"/>
    <s v="Female"/>
    <s v="Divorced"/>
    <x v="0"/>
    <s v="Branch-Southpark"/>
    <s v="Freelancer"/>
    <s v="2026-04-15"/>
    <n v="0.2"/>
    <x v="2"/>
    <n v="5"/>
    <n v="82758.63"/>
    <n v="35709.31"/>
    <n v="681"/>
    <x v="1"/>
    <x v="0"/>
    <n v="610836.18999999994"/>
    <s v="Active"/>
    <s v="Credit Only"/>
    <n v="437935.23"/>
    <n v="52"/>
    <n v="6797.85"/>
    <n v="70.599999999999994"/>
    <x v="0"/>
    <x v="0"/>
    <x v="2"/>
    <n v="175"/>
    <x v="0"/>
  </r>
  <r>
    <x v="726"/>
    <n v="25"/>
    <s v="Female"/>
    <s v="Divorced"/>
    <x v="0"/>
    <s v="Branch-Greenfield"/>
    <s v="Student"/>
    <s v="2023-10-21"/>
    <n v="2.7"/>
    <x v="0"/>
    <n v="4"/>
    <n v="41912.300000000003"/>
    <n v="52750.06"/>
    <n v="709"/>
    <x v="1"/>
    <x v="2"/>
    <n v="1901571.77"/>
    <s v="Active"/>
    <s v="Debit Only"/>
    <n v="0"/>
    <n v="48"/>
    <n v="2451.94"/>
    <n v="11.8"/>
    <x v="2"/>
    <x v="4"/>
    <x v="2"/>
    <n v="118"/>
    <x v="0"/>
  </r>
  <r>
    <x v="727"/>
    <n v="71"/>
    <s v="Male"/>
    <s v="Married"/>
    <x v="3"/>
    <s v="Branch-Midtown"/>
    <s v="Retired"/>
    <s v="2022-07-22"/>
    <n v="3.9"/>
    <x v="1"/>
    <n v="3"/>
    <n v="75063.789999999994"/>
    <n v="48784.25"/>
    <n v="383"/>
    <x v="4"/>
    <x v="1"/>
    <n v="0"/>
    <s v="N/A"/>
    <s v="Both"/>
    <n v="468267.36"/>
    <n v="46"/>
    <n v="13717.35"/>
    <n v="74.900000000000006"/>
    <x v="0"/>
    <x v="3"/>
    <x v="1"/>
    <n v="53"/>
    <x v="0"/>
  </r>
  <r>
    <x v="728"/>
    <n v="23"/>
    <s v="Male"/>
    <s v="Widowed"/>
    <x v="3"/>
    <s v="Branch-Harborview"/>
    <s v="Student"/>
    <s v="2022-08-16"/>
    <n v="3.9"/>
    <x v="2"/>
    <n v="1"/>
    <n v="0"/>
    <n v="44216.43"/>
    <n v="697"/>
    <x v="1"/>
    <x v="2"/>
    <n v="1444109.26"/>
    <s v="Closed"/>
    <s v="Debit Only"/>
    <n v="0"/>
    <n v="18"/>
    <n v="3616.53"/>
    <n v="88.7"/>
    <x v="1"/>
    <x v="0"/>
    <x v="0"/>
    <n v="307"/>
    <x v="1"/>
  </r>
  <r>
    <x v="729"/>
    <n v="26"/>
    <s v="Female"/>
    <s v="Widowed"/>
    <x v="3"/>
    <s v="Branch-Southpark"/>
    <s v="Self-Employed"/>
    <s v="2020-08-06"/>
    <n v="5.9"/>
    <x v="1"/>
    <n v="4"/>
    <n v="107777.87"/>
    <n v="15375.94"/>
    <n v="621"/>
    <x v="0"/>
    <x v="0"/>
    <n v="434394.29"/>
    <s v="Active"/>
    <s v="Debit Only"/>
    <n v="0"/>
    <n v="38"/>
    <n v="8336.4699999999993"/>
    <n v="25.1"/>
    <x v="0"/>
    <x v="2"/>
    <x v="1"/>
    <n v="19"/>
    <x v="0"/>
  </r>
  <r>
    <x v="730"/>
    <n v="27"/>
    <s v="Male"/>
    <s v="Married"/>
    <x v="3"/>
    <s v="Branch-Riverside"/>
    <s v="Self-Employed"/>
    <s v="2019-11-11"/>
    <n v="6.6"/>
    <x v="1"/>
    <n v="5"/>
    <n v="30849.32"/>
    <n v="85313.83"/>
    <n v="850"/>
    <x v="3"/>
    <x v="1"/>
    <n v="0"/>
    <s v="N/A"/>
    <s v="None"/>
    <n v="0"/>
    <n v="17"/>
    <n v="11102.73"/>
    <n v="29.6"/>
    <x v="1"/>
    <x v="1"/>
    <x v="3"/>
    <n v="165"/>
    <x v="0"/>
  </r>
  <r>
    <x v="731"/>
    <n v="34"/>
    <s v="Female"/>
    <s v="Widowed"/>
    <x v="2"/>
    <s v="Branch-Lakeview"/>
    <s v="Retired"/>
    <s v="2019-02-03"/>
    <n v="7.4"/>
    <x v="1"/>
    <n v="3"/>
    <n v="33036.61"/>
    <n v="32285.58"/>
    <n v="726"/>
    <x v="1"/>
    <x v="2"/>
    <n v="1162627.57"/>
    <s v="Active"/>
    <s v="None"/>
    <n v="0"/>
    <n v="10"/>
    <n v="13247.91"/>
    <n v="42.7"/>
    <x v="2"/>
    <x v="1"/>
    <x v="1"/>
    <n v="184"/>
    <x v="0"/>
  </r>
  <r>
    <x v="732"/>
    <n v="62"/>
    <s v="Female"/>
    <s v="Widowed"/>
    <x v="4"/>
    <s v="Branch-Southpark"/>
    <s v="Self-Employed"/>
    <s v="2024-12-19"/>
    <n v="1.5"/>
    <x v="1"/>
    <n v="3"/>
    <n v="0"/>
    <n v="81344.160000000003"/>
    <n v="568"/>
    <x v="4"/>
    <x v="1"/>
    <n v="0"/>
    <s v="N/A"/>
    <s v="None"/>
    <n v="0"/>
    <n v="54"/>
    <n v="597.64"/>
    <n v="30.7"/>
    <x v="3"/>
    <x v="4"/>
    <x v="1"/>
    <n v="348"/>
    <x v="1"/>
  </r>
  <r>
    <x v="733"/>
    <n v="67"/>
    <s v="Female"/>
    <s v="Widowed"/>
    <x v="4"/>
    <s v="Branch-Downtown"/>
    <s v="Business Owner"/>
    <s v="2025-04-02"/>
    <n v="1.2"/>
    <x v="3"/>
    <n v="1"/>
    <n v="0"/>
    <n v="43067.53"/>
    <n v="485"/>
    <x v="4"/>
    <x v="4"/>
    <n v="702182.5"/>
    <s v="Active"/>
    <s v="Both"/>
    <n v="168500.39"/>
    <n v="23"/>
    <n v="8150.75"/>
    <n v="81.2"/>
    <x v="1"/>
    <x v="0"/>
    <x v="1"/>
    <n v="10"/>
    <x v="1"/>
  </r>
  <r>
    <x v="734"/>
    <n v="19"/>
    <s v="Female"/>
    <s v="Married"/>
    <x v="0"/>
    <s v="Branch-Greenfield"/>
    <s v="Self-Employed"/>
    <s v="2019-06-18"/>
    <n v="7"/>
    <x v="2"/>
    <n v="2"/>
    <n v="84152.66"/>
    <n v="16531.939999999999"/>
    <n v="607"/>
    <x v="0"/>
    <x v="1"/>
    <n v="0"/>
    <s v="N/A"/>
    <s v="Credit Only"/>
    <n v="151542.35"/>
    <n v="21"/>
    <n v="2739.19"/>
    <n v="88.5"/>
    <x v="0"/>
    <x v="3"/>
    <x v="4"/>
    <n v="375"/>
    <x v="0"/>
  </r>
  <r>
    <x v="735"/>
    <n v="56"/>
    <s v="Female"/>
    <s v="Married"/>
    <x v="0"/>
    <s v="Branch-Hillcrest"/>
    <s v="Business Owner"/>
    <s v="2019-04-17"/>
    <n v="7.2"/>
    <x v="4"/>
    <n v="1"/>
    <n v="86694.62"/>
    <n v="60877.06"/>
    <n v="612"/>
    <x v="0"/>
    <x v="1"/>
    <n v="0"/>
    <s v="N/A"/>
    <s v="Credit Only"/>
    <n v="387987.44"/>
    <n v="24"/>
    <n v="6297.67"/>
    <n v="18.899999999999999"/>
    <x v="0"/>
    <x v="1"/>
    <x v="0"/>
    <n v="258"/>
    <x v="1"/>
  </r>
  <r>
    <x v="736"/>
    <n v="56"/>
    <s v="Male"/>
    <s v="Single"/>
    <x v="1"/>
    <s v="Branch-Oakridge"/>
    <s v="Retired"/>
    <s v="2019-04-01"/>
    <n v="7.3"/>
    <x v="2"/>
    <n v="3"/>
    <n v="52141.52"/>
    <n v="25118.89"/>
    <n v="732"/>
    <x v="1"/>
    <x v="5"/>
    <n v="705722.59"/>
    <s v="Closed"/>
    <s v="Credit Only"/>
    <n v="328351.17"/>
    <n v="31"/>
    <n v="12550.87"/>
    <n v="64.7"/>
    <x v="1"/>
    <x v="2"/>
    <x v="4"/>
    <n v="164"/>
    <x v="0"/>
  </r>
  <r>
    <x v="737"/>
    <n v="60"/>
    <s v="Female"/>
    <s v="Divorced"/>
    <x v="0"/>
    <s v="Branch-Hillcrest"/>
    <s v="Salaried"/>
    <s v="2023-12-23"/>
    <n v="2.5"/>
    <x v="1"/>
    <n v="5"/>
    <n v="128886.29"/>
    <n v="8000"/>
    <n v="724"/>
    <x v="1"/>
    <x v="2"/>
    <n v="1071031.51"/>
    <s v="Closed"/>
    <s v="None"/>
    <n v="0"/>
    <n v="39"/>
    <n v="12606.35"/>
    <n v="2.5"/>
    <x v="1"/>
    <x v="2"/>
    <x v="0"/>
    <n v="375"/>
    <x v="0"/>
  </r>
  <r>
    <x v="738"/>
    <n v="41"/>
    <s v="Male"/>
    <s v="Widowed"/>
    <x v="0"/>
    <s v="Branch-Northgate"/>
    <s v="Self-Employed"/>
    <s v="2025-05-24"/>
    <n v="1.1000000000000001"/>
    <x v="2"/>
    <n v="4"/>
    <n v="54671.54"/>
    <n v="15842.29"/>
    <n v="480"/>
    <x v="4"/>
    <x v="1"/>
    <n v="0"/>
    <s v="N/A"/>
    <s v="Credit Only"/>
    <n v="266862.63"/>
    <n v="13"/>
    <n v="14139.19"/>
    <n v="95.4"/>
    <x v="0"/>
    <x v="2"/>
    <x v="3"/>
    <n v="180"/>
    <x v="0"/>
  </r>
  <r>
    <x v="739"/>
    <n v="53"/>
    <s v="Female"/>
    <s v="Single"/>
    <x v="3"/>
    <s v="Branch-Westfield"/>
    <s v="Salaried"/>
    <s v="2019-02-25"/>
    <n v="7.3"/>
    <x v="1"/>
    <n v="1"/>
    <n v="66827.92"/>
    <n v="70276.87"/>
    <n v="715"/>
    <x v="1"/>
    <x v="0"/>
    <n v="2406226.81"/>
    <s v="Active"/>
    <s v="None"/>
    <n v="0"/>
    <n v="3"/>
    <n v="6346.29"/>
    <n v="8.1"/>
    <x v="0"/>
    <x v="0"/>
    <x v="3"/>
    <n v="233"/>
    <x v="0"/>
  </r>
  <r>
    <x v="740"/>
    <n v="42"/>
    <s v="Female"/>
    <s v="Married"/>
    <x v="2"/>
    <s v="Branch-Greenfield"/>
    <s v="Self-Employed"/>
    <s v="2019-11-04"/>
    <n v="6.7"/>
    <x v="1"/>
    <n v="3"/>
    <n v="123078.61"/>
    <n v="18192.259999999998"/>
    <n v="529"/>
    <x v="4"/>
    <x v="3"/>
    <n v="1734690.53"/>
    <s v="Closed"/>
    <s v="None"/>
    <n v="0"/>
    <n v="47"/>
    <n v="1451.01"/>
    <n v="85.6"/>
    <x v="0"/>
    <x v="2"/>
    <x v="1"/>
    <n v="82"/>
    <x v="1"/>
  </r>
  <r>
    <x v="741"/>
    <n v="76"/>
    <s v="Male"/>
    <s v="Widowed"/>
    <x v="0"/>
    <s v="Branch-Westfield"/>
    <s v="Salaried"/>
    <s v="2025-03-23"/>
    <n v="1.3"/>
    <x v="2"/>
    <n v="4"/>
    <n v="0"/>
    <n v="42717.11"/>
    <n v="711"/>
    <x v="1"/>
    <x v="0"/>
    <n v="1415887.92"/>
    <s v="Active"/>
    <s v="None"/>
    <n v="0"/>
    <n v="3"/>
    <n v="734.89"/>
    <n v="16.600000000000001"/>
    <x v="1"/>
    <x v="0"/>
    <x v="2"/>
    <n v="245"/>
    <x v="0"/>
  </r>
  <r>
    <x v="742"/>
    <n v="20"/>
    <s v="Female"/>
    <s v="Married"/>
    <x v="4"/>
    <s v="Branch-Midtown"/>
    <s v="Business Owner"/>
    <s v="2020-07-20"/>
    <n v="5.9"/>
    <x v="1"/>
    <n v="2"/>
    <n v="92933.24"/>
    <n v="32022.67"/>
    <n v="684"/>
    <x v="1"/>
    <x v="2"/>
    <n v="2060338.9"/>
    <s v="Closed"/>
    <s v="None"/>
    <n v="0"/>
    <n v="43"/>
    <n v="3152.96"/>
    <n v="11.7"/>
    <x v="0"/>
    <x v="1"/>
    <x v="4"/>
    <n v="234"/>
    <x v="1"/>
  </r>
  <r>
    <x v="743"/>
    <n v="25"/>
    <s v="Female"/>
    <s v="Married"/>
    <x v="0"/>
    <s v="Branch-Greenfield"/>
    <s v="Business Owner"/>
    <s v="2024-02-19"/>
    <n v="2.4"/>
    <x v="0"/>
    <n v="5"/>
    <n v="89630.23"/>
    <n v="65724.38"/>
    <n v="816"/>
    <x v="3"/>
    <x v="0"/>
    <n v="220066.17"/>
    <s v="Active"/>
    <s v="Both"/>
    <n v="34624.370000000003"/>
    <n v="14"/>
    <n v="3574.22"/>
    <n v="3.8"/>
    <x v="0"/>
    <x v="4"/>
    <x v="2"/>
    <n v="338"/>
    <x v="0"/>
  </r>
  <r>
    <x v="744"/>
    <n v="54"/>
    <s v="Female"/>
    <s v="Single"/>
    <x v="2"/>
    <s v="Branch-Downtown"/>
    <s v="Self-Employed"/>
    <s v="2024-08-15"/>
    <n v="1.9"/>
    <x v="1"/>
    <n v="2"/>
    <n v="42066.58"/>
    <n v="49870.7"/>
    <n v="552"/>
    <x v="4"/>
    <x v="5"/>
    <n v="291525.94"/>
    <s v="Closed"/>
    <s v="Credit Only"/>
    <n v="20939.740000000002"/>
    <n v="8"/>
    <n v="7379.94"/>
    <n v="30.4"/>
    <x v="0"/>
    <x v="3"/>
    <x v="4"/>
    <n v="367"/>
    <x v="0"/>
  </r>
  <r>
    <x v="745"/>
    <n v="76"/>
    <s v="Male"/>
    <s v="Married"/>
    <x v="3"/>
    <s v="Branch-Oakridge"/>
    <s v="Retired"/>
    <s v="2025-08-07"/>
    <n v="0.9"/>
    <x v="1"/>
    <n v="3"/>
    <n v="17560.990000000002"/>
    <n v="92928.2"/>
    <n v="747"/>
    <x v="2"/>
    <x v="1"/>
    <n v="0"/>
    <s v="N/A"/>
    <s v="None"/>
    <n v="0"/>
    <n v="55"/>
    <n v="10475.15"/>
    <n v="32.4"/>
    <x v="1"/>
    <x v="2"/>
    <x v="4"/>
    <n v="117"/>
    <x v="0"/>
  </r>
  <r>
    <x v="746"/>
    <n v="65"/>
    <s v="Male"/>
    <s v="Divorced"/>
    <x v="0"/>
    <s v="Branch-Riverside"/>
    <s v="Salaried"/>
    <s v="2022-08-01"/>
    <n v="3.9"/>
    <x v="2"/>
    <n v="2"/>
    <n v="58984.98"/>
    <n v="65754.47"/>
    <n v="708"/>
    <x v="1"/>
    <x v="3"/>
    <n v="2341148.38"/>
    <s v="Active"/>
    <s v="Both"/>
    <n v="110185.07"/>
    <n v="23"/>
    <n v="11918.42"/>
    <n v="10.9"/>
    <x v="0"/>
    <x v="0"/>
    <x v="1"/>
    <n v="195"/>
    <x v="0"/>
  </r>
  <r>
    <x v="747"/>
    <n v="18"/>
    <s v="Male"/>
    <s v="Widowed"/>
    <x v="1"/>
    <s v="Branch-Riverside"/>
    <s v="Business Owner"/>
    <s v="2020-03-08"/>
    <n v="6.3"/>
    <x v="4"/>
    <n v="2"/>
    <n v="109591.05"/>
    <n v="47215.64"/>
    <n v="695"/>
    <x v="1"/>
    <x v="1"/>
    <n v="0"/>
    <s v="N/A"/>
    <s v="Debit Only"/>
    <n v="0"/>
    <n v="17"/>
    <n v="12488.54"/>
    <n v="44.9"/>
    <x v="0"/>
    <x v="3"/>
    <x v="2"/>
    <n v="226"/>
    <x v="0"/>
  </r>
  <r>
    <x v="748"/>
    <n v="23"/>
    <s v="Male"/>
    <s v="Single"/>
    <x v="2"/>
    <s v="Branch-Greenfield"/>
    <s v="Business Owner"/>
    <s v="2020-12-22"/>
    <n v="5.5"/>
    <x v="1"/>
    <n v="3"/>
    <n v="21537.72"/>
    <n v="56574.879999999997"/>
    <n v="710"/>
    <x v="1"/>
    <x v="1"/>
    <n v="0"/>
    <s v="N/A"/>
    <s v="Credit Only"/>
    <n v="78995.61"/>
    <n v="55"/>
    <n v="11052.16"/>
    <n v="98.5"/>
    <x v="0"/>
    <x v="4"/>
    <x v="4"/>
    <n v="332"/>
    <x v="0"/>
  </r>
  <r>
    <x v="749"/>
    <n v="37"/>
    <s v="Female"/>
    <s v="Married"/>
    <x v="3"/>
    <s v="Branch-Northgate"/>
    <s v="Freelancer"/>
    <s v="2025-05-26"/>
    <n v="1.1000000000000001"/>
    <x v="0"/>
    <n v="3"/>
    <n v="69179.48"/>
    <n v="34518.06"/>
    <n v="698"/>
    <x v="1"/>
    <x v="1"/>
    <n v="0"/>
    <s v="N/A"/>
    <s v="Both"/>
    <n v="49287.58"/>
    <n v="33"/>
    <n v="3789.38"/>
    <n v="50.2"/>
    <x v="0"/>
    <x v="1"/>
    <x v="2"/>
    <n v="117"/>
    <x v="0"/>
  </r>
  <r>
    <x v="750"/>
    <n v="20"/>
    <s v="Female"/>
    <s v="Divorced"/>
    <x v="2"/>
    <s v="Branch-Eastwood"/>
    <s v="Freelancer"/>
    <s v="2019-09-14"/>
    <n v="6.8"/>
    <x v="2"/>
    <n v="1"/>
    <n v="102708.56"/>
    <n v="32872.1"/>
    <n v="711"/>
    <x v="1"/>
    <x v="1"/>
    <n v="0"/>
    <s v="N/A"/>
    <s v="Debit Only"/>
    <n v="0"/>
    <n v="19"/>
    <n v="11257.92"/>
    <n v="51.8"/>
    <x v="0"/>
    <x v="1"/>
    <x v="2"/>
    <n v="97"/>
    <x v="1"/>
  </r>
  <r>
    <x v="751"/>
    <n v="27"/>
    <s v="Female"/>
    <s v="Single"/>
    <x v="2"/>
    <s v="Branch-Downtown"/>
    <s v="Business Owner"/>
    <s v="2024-03-01"/>
    <n v="2.2999999999999998"/>
    <x v="2"/>
    <n v="2"/>
    <n v="2549"/>
    <n v="14962.57"/>
    <n v="581"/>
    <x v="0"/>
    <x v="1"/>
    <n v="0"/>
    <s v="N/A"/>
    <s v="None"/>
    <n v="0"/>
    <n v="59"/>
    <n v="5982.09"/>
    <n v="74.599999999999994"/>
    <x v="0"/>
    <x v="0"/>
    <x v="2"/>
    <n v="242"/>
    <x v="0"/>
  </r>
  <r>
    <x v="752"/>
    <n v="18"/>
    <s v="Male"/>
    <s v="Single"/>
    <x v="4"/>
    <s v="Branch-Hillcrest"/>
    <s v="Retired"/>
    <s v="2022-11-06"/>
    <n v="3.6"/>
    <x v="1"/>
    <n v="5"/>
    <n v="198236.43"/>
    <n v="51928"/>
    <n v="786"/>
    <x v="2"/>
    <x v="1"/>
    <n v="0"/>
    <s v="N/A"/>
    <s v="Debit Only"/>
    <n v="0"/>
    <n v="54"/>
    <n v="665.68"/>
    <n v="34.299999999999997"/>
    <x v="2"/>
    <x v="4"/>
    <x v="3"/>
    <n v="2"/>
    <x v="0"/>
  </r>
  <r>
    <x v="753"/>
    <n v="35"/>
    <s v="Male"/>
    <s v="Married"/>
    <x v="1"/>
    <s v="Branch-Southpark"/>
    <s v="Freelancer"/>
    <s v="2022-03-12"/>
    <n v="4.3"/>
    <x v="3"/>
    <n v="3"/>
    <n v="49277.16"/>
    <n v="25269.86"/>
    <n v="653"/>
    <x v="0"/>
    <x v="2"/>
    <n v="1082501.1399999999"/>
    <s v="Active"/>
    <s v="Both"/>
    <n v="38363.49"/>
    <n v="25"/>
    <n v="6167.18"/>
    <n v="44.5"/>
    <x v="1"/>
    <x v="0"/>
    <x v="1"/>
    <n v="27"/>
    <x v="0"/>
  </r>
  <r>
    <x v="754"/>
    <n v="31"/>
    <s v="Female"/>
    <s v="Single"/>
    <x v="3"/>
    <s v="Branch-Lakeview"/>
    <s v="Self-Employed"/>
    <s v="2019-06-21"/>
    <n v="7"/>
    <x v="2"/>
    <n v="1"/>
    <n v="10117.85"/>
    <n v="8000"/>
    <n v="650"/>
    <x v="0"/>
    <x v="1"/>
    <n v="0"/>
    <s v="N/A"/>
    <s v="Debit Only"/>
    <n v="0"/>
    <n v="46"/>
    <n v="10693.21"/>
    <n v="75.599999999999994"/>
    <x v="4"/>
    <x v="0"/>
    <x v="0"/>
    <n v="278"/>
    <x v="0"/>
  </r>
  <r>
    <x v="755"/>
    <n v="34"/>
    <s v="Male"/>
    <s v="Divorced"/>
    <x v="3"/>
    <s v="Branch-Harborview"/>
    <s v="Self-Employed"/>
    <s v="2022-09-09"/>
    <n v="3.8"/>
    <x v="1"/>
    <n v="4"/>
    <n v="20574.97"/>
    <n v="37021.360000000001"/>
    <n v="769"/>
    <x v="2"/>
    <x v="1"/>
    <n v="0"/>
    <s v="N/A"/>
    <s v="Credit Only"/>
    <n v="413200"/>
    <n v="56"/>
    <n v="11638.32"/>
    <n v="68.2"/>
    <x v="0"/>
    <x v="0"/>
    <x v="4"/>
    <n v="153"/>
    <x v="0"/>
  </r>
  <r>
    <x v="756"/>
    <n v="71"/>
    <s v="Female"/>
    <s v="Widowed"/>
    <x v="1"/>
    <s v="Branch-Oakridge"/>
    <s v="Student"/>
    <s v="2025-08-17"/>
    <n v="0.9"/>
    <x v="0"/>
    <n v="5"/>
    <n v="12616.88"/>
    <n v="36393.74"/>
    <n v="534"/>
    <x v="4"/>
    <x v="1"/>
    <n v="0"/>
    <s v="N/A"/>
    <s v="None"/>
    <n v="0"/>
    <n v="41"/>
    <n v="5271.15"/>
    <n v="10.9"/>
    <x v="1"/>
    <x v="3"/>
    <x v="1"/>
    <n v="150"/>
    <x v="0"/>
  </r>
  <r>
    <x v="757"/>
    <n v="50"/>
    <s v="Female"/>
    <s v="Divorced"/>
    <x v="0"/>
    <s v="Branch-Downtown"/>
    <s v="Freelancer"/>
    <s v="2020-08-18"/>
    <n v="5.9"/>
    <x v="1"/>
    <n v="1"/>
    <n v="81574.81"/>
    <n v="46617.63"/>
    <n v="752"/>
    <x v="2"/>
    <x v="1"/>
    <n v="0"/>
    <s v="N/A"/>
    <s v="Debit Only"/>
    <n v="0"/>
    <n v="15"/>
    <n v="14969.76"/>
    <n v="93.2"/>
    <x v="1"/>
    <x v="1"/>
    <x v="3"/>
    <n v="363"/>
    <x v="0"/>
  </r>
  <r>
    <x v="758"/>
    <n v="44"/>
    <s v="Male"/>
    <s v="Divorced"/>
    <x v="4"/>
    <s v="Branch-Greenfield"/>
    <s v="Retired"/>
    <s v="2018-12-19"/>
    <n v="7.5"/>
    <x v="2"/>
    <n v="3"/>
    <n v="20304.98"/>
    <n v="9424.69"/>
    <n v="755"/>
    <x v="2"/>
    <x v="1"/>
    <n v="0"/>
    <s v="N/A"/>
    <s v="Credit Only"/>
    <n v="274549.05"/>
    <n v="36"/>
    <n v="14899.1"/>
    <n v="83.4"/>
    <x v="0"/>
    <x v="3"/>
    <x v="1"/>
    <n v="268"/>
    <x v="0"/>
  </r>
  <r>
    <x v="759"/>
    <n v="49"/>
    <s v="Male"/>
    <s v="Single"/>
    <x v="3"/>
    <s v="Branch-Southpark"/>
    <s v="Business Owner"/>
    <s v="2025-12-13"/>
    <n v="0.5"/>
    <x v="1"/>
    <n v="2"/>
    <n v="173798.35"/>
    <n v="39922.239999999998"/>
    <n v="590"/>
    <x v="0"/>
    <x v="3"/>
    <n v="2200556.5099999998"/>
    <s v="Active"/>
    <s v="Both"/>
    <n v="235695.04"/>
    <n v="6"/>
    <n v="1623.71"/>
    <n v="83.4"/>
    <x v="0"/>
    <x v="4"/>
    <x v="0"/>
    <n v="196"/>
    <x v="1"/>
  </r>
  <r>
    <x v="760"/>
    <n v="71"/>
    <s v="Male"/>
    <s v="Single"/>
    <x v="2"/>
    <s v="Branch-Southpark"/>
    <s v="Business Owner"/>
    <s v="2024-03-09"/>
    <n v="2.2999999999999998"/>
    <x v="1"/>
    <n v="4"/>
    <n v="57427.62"/>
    <n v="53087.25"/>
    <n v="638"/>
    <x v="0"/>
    <x v="3"/>
    <n v="523804.04"/>
    <s v="Closed"/>
    <s v="Both"/>
    <n v="402778.97"/>
    <n v="13"/>
    <n v="13567.28"/>
    <n v="27.6"/>
    <x v="0"/>
    <x v="0"/>
    <x v="4"/>
    <n v="81"/>
    <x v="0"/>
  </r>
  <r>
    <x v="761"/>
    <n v="31"/>
    <s v="Female"/>
    <s v="Divorced"/>
    <x v="1"/>
    <s v="Branch-Lakeview"/>
    <s v="Freelancer"/>
    <s v="2024-09-30"/>
    <n v="1.7"/>
    <x v="4"/>
    <n v="2"/>
    <n v="63473.21"/>
    <n v="74514.06"/>
    <n v="657"/>
    <x v="0"/>
    <x v="1"/>
    <n v="0"/>
    <s v="N/A"/>
    <s v="Credit Only"/>
    <n v="365042.31"/>
    <n v="14"/>
    <n v="6602.95"/>
    <n v="91.8"/>
    <x v="0"/>
    <x v="1"/>
    <x v="1"/>
    <n v="6"/>
    <x v="0"/>
  </r>
  <r>
    <x v="762"/>
    <n v="69"/>
    <s v="Female"/>
    <s v="Divorced"/>
    <x v="0"/>
    <s v="Branch-Greenfield"/>
    <s v="Freelancer"/>
    <s v="2024-09-07"/>
    <n v="1.8"/>
    <x v="1"/>
    <n v="2"/>
    <n v="32360.41"/>
    <n v="40456.57"/>
    <n v="749"/>
    <x v="2"/>
    <x v="0"/>
    <n v="301592.43"/>
    <s v="Active"/>
    <s v="Debit Only"/>
    <n v="0"/>
    <n v="7"/>
    <n v="5896.68"/>
    <n v="13.2"/>
    <x v="1"/>
    <x v="0"/>
    <x v="0"/>
    <n v="304"/>
    <x v="0"/>
  </r>
  <r>
    <x v="763"/>
    <n v="70"/>
    <s v="Female"/>
    <s v="Single"/>
    <x v="1"/>
    <s v="Branch-Westfield"/>
    <s v="Freelancer"/>
    <s v="2025-02-23"/>
    <n v="1.3"/>
    <x v="4"/>
    <n v="1"/>
    <n v="52092.79"/>
    <n v="28499.05"/>
    <n v="618"/>
    <x v="0"/>
    <x v="1"/>
    <n v="0"/>
    <s v="N/A"/>
    <s v="Debit Only"/>
    <n v="0"/>
    <n v="15"/>
    <n v="8380.39"/>
    <n v="62.1"/>
    <x v="0"/>
    <x v="2"/>
    <x v="2"/>
    <n v="135"/>
    <x v="0"/>
  </r>
  <r>
    <x v="764"/>
    <n v="25"/>
    <s v="Male"/>
    <s v="Widowed"/>
    <x v="2"/>
    <s v="Branch-Harborview"/>
    <s v="Self-Employed"/>
    <s v="2026-02-09"/>
    <n v="0.4"/>
    <x v="1"/>
    <n v="5"/>
    <n v="70378.75"/>
    <n v="62980.19"/>
    <n v="850"/>
    <x v="3"/>
    <x v="5"/>
    <n v="2400018.58"/>
    <s v="Active"/>
    <s v="Both"/>
    <n v="139932.4"/>
    <n v="14"/>
    <n v="7510.86"/>
    <n v="84.9"/>
    <x v="2"/>
    <x v="0"/>
    <x v="4"/>
    <n v="397"/>
    <x v="1"/>
  </r>
  <r>
    <x v="765"/>
    <n v="76"/>
    <s v="Male"/>
    <s v="Divorced"/>
    <x v="1"/>
    <s v="Branch-Oakridge"/>
    <s v="Self-Employed"/>
    <s v="2023-05-01"/>
    <n v="3.2"/>
    <x v="1"/>
    <n v="4"/>
    <n v="162167.34"/>
    <n v="51655.14"/>
    <n v="623"/>
    <x v="0"/>
    <x v="1"/>
    <n v="0"/>
    <s v="N/A"/>
    <s v="Debit Only"/>
    <n v="0"/>
    <n v="47"/>
    <n v="3494.05"/>
    <n v="66.099999999999994"/>
    <x v="0"/>
    <x v="3"/>
    <x v="0"/>
    <n v="270"/>
    <x v="1"/>
  </r>
  <r>
    <x v="766"/>
    <n v="60"/>
    <s v="Female"/>
    <s v="Widowed"/>
    <x v="1"/>
    <s v="Branch-Downtown"/>
    <s v="Salaried"/>
    <s v="2018-04-24"/>
    <n v="8.1999999999999993"/>
    <x v="1"/>
    <n v="4"/>
    <n v="56566.73"/>
    <n v="27181.48"/>
    <n v="752"/>
    <x v="2"/>
    <x v="5"/>
    <n v="1239403.3500000001"/>
    <s v="Active"/>
    <s v="Credit Only"/>
    <n v="493388.55"/>
    <n v="47"/>
    <n v="5464.25"/>
    <n v="77.599999999999994"/>
    <x v="0"/>
    <x v="0"/>
    <x v="0"/>
    <n v="250"/>
    <x v="0"/>
  </r>
  <r>
    <x v="767"/>
    <n v="28"/>
    <s v="Male"/>
    <s v="Single"/>
    <x v="0"/>
    <s v="Branch-Southpark"/>
    <s v="Salaried"/>
    <s v="2024-04-02"/>
    <n v="2.2000000000000002"/>
    <x v="3"/>
    <n v="1"/>
    <n v="152018.98000000001"/>
    <n v="47720.97"/>
    <n v="771"/>
    <x v="2"/>
    <x v="1"/>
    <n v="0"/>
    <s v="N/A"/>
    <s v="Debit Only"/>
    <n v="0"/>
    <n v="21"/>
    <n v="2115.91"/>
    <n v="72.8"/>
    <x v="0"/>
    <x v="4"/>
    <x v="4"/>
    <n v="175"/>
    <x v="0"/>
  </r>
  <r>
    <x v="768"/>
    <n v="64"/>
    <s v="Female"/>
    <s v="Single"/>
    <x v="2"/>
    <s v="Branch-Downtown"/>
    <s v="Self-Employed"/>
    <s v="2019-01-12"/>
    <n v="7.5"/>
    <x v="1"/>
    <n v="4"/>
    <n v="27324.32"/>
    <n v="35741.31"/>
    <n v="566"/>
    <x v="4"/>
    <x v="2"/>
    <n v="209523.29"/>
    <s v="Active"/>
    <s v="Debit Only"/>
    <n v="0"/>
    <n v="55"/>
    <n v="9946.9"/>
    <n v="53.8"/>
    <x v="0"/>
    <x v="1"/>
    <x v="4"/>
    <n v="170"/>
    <x v="0"/>
  </r>
  <r>
    <x v="769"/>
    <n v="66"/>
    <s v="Male"/>
    <s v="Single"/>
    <x v="2"/>
    <s v="Branch-Westfield"/>
    <s v="Business Owner"/>
    <s v="2018-07-17"/>
    <n v="8"/>
    <x v="0"/>
    <n v="1"/>
    <n v="22519.02"/>
    <n v="36103.67"/>
    <n v="632"/>
    <x v="0"/>
    <x v="1"/>
    <n v="0"/>
    <s v="N/A"/>
    <s v="Debit Only"/>
    <n v="0"/>
    <n v="55"/>
    <n v="2261.5300000000002"/>
    <n v="47.2"/>
    <x v="0"/>
    <x v="4"/>
    <x v="3"/>
    <n v="12"/>
    <x v="0"/>
  </r>
  <r>
    <x v="770"/>
    <n v="33"/>
    <s v="Female"/>
    <s v="Married"/>
    <x v="1"/>
    <s v="Branch-Harborview"/>
    <s v="Student"/>
    <s v="2024-02-05"/>
    <n v="2.4"/>
    <x v="1"/>
    <n v="5"/>
    <n v="21495.9"/>
    <n v="73858.95"/>
    <n v="614"/>
    <x v="0"/>
    <x v="4"/>
    <n v="2307834.98"/>
    <s v="Active"/>
    <s v="Both"/>
    <n v="249830.43"/>
    <n v="53"/>
    <n v="13977.25"/>
    <n v="86.3"/>
    <x v="2"/>
    <x v="3"/>
    <x v="1"/>
    <n v="169"/>
    <x v="0"/>
  </r>
  <r>
    <x v="771"/>
    <n v="70"/>
    <s v="Female"/>
    <s v="Married"/>
    <x v="3"/>
    <s v="Branch-Southpark"/>
    <s v="Self-Employed"/>
    <s v="2023-03-26"/>
    <n v="3.3"/>
    <x v="1"/>
    <n v="3"/>
    <n v="32018.32"/>
    <n v="35203.85"/>
    <n v="675"/>
    <x v="1"/>
    <x v="1"/>
    <n v="0"/>
    <s v="N/A"/>
    <s v="Debit Only"/>
    <n v="0"/>
    <n v="10"/>
    <n v="6367.56"/>
    <n v="18.899999999999999"/>
    <x v="2"/>
    <x v="3"/>
    <x v="3"/>
    <n v="324"/>
    <x v="0"/>
  </r>
  <r>
    <x v="772"/>
    <n v="33"/>
    <s v="Male"/>
    <s v="Married"/>
    <x v="3"/>
    <s v="Branch-Northgate"/>
    <s v="Salaried"/>
    <s v="2025-10-05"/>
    <n v="0.7"/>
    <x v="1"/>
    <n v="1"/>
    <n v="52312.81"/>
    <n v="52136.34"/>
    <n v="587"/>
    <x v="0"/>
    <x v="1"/>
    <n v="0"/>
    <s v="N/A"/>
    <s v="Debit Only"/>
    <n v="0"/>
    <n v="45"/>
    <n v="2367.0700000000002"/>
    <n v="8.9"/>
    <x v="4"/>
    <x v="4"/>
    <x v="1"/>
    <n v="82"/>
    <x v="1"/>
  </r>
  <r>
    <x v="773"/>
    <n v="75"/>
    <s v="Male"/>
    <s v="Widowed"/>
    <x v="0"/>
    <s v="Branch-Riverside"/>
    <s v="Salaried"/>
    <s v="2019-04-27"/>
    <n v="7.2"/>
    <x v="1"/>
    <n v="4"/>
    <n v="47232.19"/>
    <n v="33297.43"/>
    <n v="657"/>
    <x v="0"/>
    <x v="1"/>
    <n v="0"/>
    <s v="N/A"/>
    <s v="Debit Only"/>
    <n v="0"/>
    <n v="21"/>
    <n v="3014.86"/>
    <n v="11.6"/>
    <x v="0"/>
    <x v="0"/>
    <x v="1"/>
    <n v="90"/>
    <x v="0"/>
  </r>
  <r>
    <x v="774"/>
    <n v="71"/>
    <s v="Female"/>
    <s v="Married"/>
    <x v="1"/>
    <s v="Branch-Midtown"/>
    <s v="Salaried"/>
    <s v="2021-10-08"/>
    <n v="4.7"/>
    <x v="4"/>
    <n v="4"/>
    <n v="28160.91"/>
    <n v="44539.41"/>
    <n v="820"/>
    <x v="3"/>
    <x v="1"/>
    <n v="0"/>
    <s v="N/A"/>
    <s v="Credit Only"/>
    <n v="112045.04"/>
    <n v="20"/>
    <n v="9631.2199999999993"/>
    <n v="28.6"/>
    <x v="0"/>
    <x v="3"/>
    <x v="1"/>
    <n v="333"/>
    <x v="0"/>
  </r>
  <r>
    <x v="775"/>
    <n v="35"/>
    <s v="Male"/>
    <s v="Widowed"/>
    <x v="1"/>
    <s v="Branch-Oakridge"/>
    <s v="Retired"/>
    <s v="2023-01-11"/>
    <n v="3.5"/>
    <x v="4"/>
    <n v="5"/>
    <n v="31546.05"/>
    <n v="44281.88"/>
    <n v="659"/>
    <x v="0"/>
    <x v="5"/>
    <n v="1659615.92"/>
    <s v="Active"/>
    <s v="Credit Only"/>
    <n v="430831.73"/>
    <n v="26"/>
    <n v="698.83"/>
    <n v="11.4"/>
    <x v="0"/>
    <x v="3"/>
    <x v="2"/>
    <n v="236"/>
    <x v="0"/>
  </r>
  <r>
    <x v="776"/>
    <n v="27"/>
    <s v="Female"/>
    <s v="Married"/>
    <x v="1"/>
    <s v="Branch-Midtown"/>
    <s v="Retired"/>
    <s v="2024-11-03"/>
    <n v="1.7"/>
    <x v="4"/>
    <n v="4"/>
    <n v="65964.97"/>
    <n v="71716.89"/>
    <n v="830"/>
    <x v="3"/>
    <x v="1"/>
    <n v="0"/>
    <s v="N/A"/>
    <s v="Both"/>
    <n v="125705.17"/>
    <n v="11"/>
    <n v="3452.15"/>
    <n v="92.3"/>
    <x v="4"/>
    <x v="3"/>
    <x v="1"/>
    <n v="69"/>
    <x v="1"/>
  </r>
  <r>
    <x v="777"/>
    <n v="34"/>
    <s v="Female"/>
    <s v="Married"/>
    <x v="3"/>
    <s v="Branch-Downtown"/>
    <s v="Retired"/>
    <s v="2025-06-20"/>
    <n v="1"/>
    <x v="0"/>
    <n v="3"/>
    <n v="48419.41"/>
    <n v="54499.25"/>
    <n v="570"/>
    <x v="4"/>
    <x v="1"/>
    <n v="0"/>
    <s v="N/A"/>
    <s v="Both"/>
    <n v="24104.16"/>
    <n v="30"/>
    <n v="8251.82"/>
    <n v="72.3"/>
    <x v="0"/>
    <x v="1"/>
    <x v="4"/>
    <n v="169"/>
    <x v="1"/>
  </r>
  <r>
    <x v="778"/>
    <n v="60"/>
    <s v="Female"/>
    <s v="Married"/>
    <x v="4"/>
    <s v="Branch-Greenfield"/>
    <s v="Salaried"/>
    <s v="2023-06-16"/>
    <n v="3"/>
    <x v="1"/>
    <n v="3"/>
    <n v="74312.259999999995"/>
    <n v="8704.82"/>
    <n v="790"/>
    <x v="2"/>
    <x v="1"/>
    <n v="0"/>
    <s v="N/A"/>
    <s v="Both"/>
    <n v="37158.449999999997"/>
    <n v="23"/>
    <n v="8369.2199999999993"/>
    <n v="79.5"/>
    <x v="4"/>
    <x v="3"/>
    <x v="2"/>
    <n v="293"/>
    <x v="0"/>
  </r>
  <r>
    <x v="779"/>
    <n v="36"/>
    <s v="Male"/>
    <s v="Single"/>
    <x v="2"/>
    <s v="Branch-Greenfield"/>
    <s v="Salaried"/>
    <s v="2020-06-03"/>
    <n v="6.1"/>
    <x v="2"/>
    <n v="3"/>
    <n v="5750.2"/>
    <n v="19596.73"/>
    <n v="670"/>
    <x v="1"/>
    <x v="3"/>
    <n v="877867.71"/>
    <s v="Closed"/>
    <s v="Debit Only"/>
    <n v="0"/>
    <n v="41"/>
    <n v="2062.2199999999998"/>
    <n v="59.2"/>
    <x v="0"/>
    <x v="4"/>
    <x v="3"/>
    <n v="298"/>
    <x v="0"/>
  </r>
  <r>
    <x v="780"/>
    <n v="52"/>
    <s v="Female"/>
    <s v="Single"/>
    <x v="3"/>
    <s v="Branch-Downtown"/>
    <s v="Business Owner"/>
    <s v="2021-10-13"/>
    <n v="4.7"/>
    <x v="1"/>
    <n v="2"/>
    <n v="51136.78"/>
    <n v="12359.74"/>
    <n v="703"/>
    <x v="1"/>
    <x v="3"/>
    <n v="496059.1"/>
    <s v="Active"/>
    <s v="None"/>
    <n v="0"/>
    <n v="56"/>
    <n v="6819.32"/>
    <n v="95.1"/>
    <x v="2"/>
    <x v="2"/>
    <x v="3"/>
    <n v="44"/>
    <x v="1"/>
  </r>
  <r>
    <x v="781"/>
    <n v="65"/>
    <s v="Male"/>
    <s v="Widowed"/>
    <x v="4"/>
    <s v="Branch-Riverside"/>
    <s v="Salaried"/>
    <s v="2020-01-30"/>
    <n v="6.4"/>
    <x v="1"/>
    <n v="3"/>
    <n v="91708.31"/>
    <n v="41867.94"/>
    <n v="664"/>
    <x v="0"/>
    <x v="1"/>
    <n v="0"/>
    <s v="N/A"/>
    <s v="None"/>
    <n v="0"/>
    <n v="7"/>
    <n v="13023.28"/>
    <n v="65.099999999999994"/>
    <x v="0"/>
    <x v="1"/>
    <x v="1"/>
    <n v="218"/>
    <x v="1"/>
  </r>
  <r>
    <x v="782"/>
    <n v="71"/>
    <s v="Female"/>
    <s v="Divorced"/>
    <x v="2"/>
    <s v="Branch-Southpark"/>
    <s v="Student"/>
    <s v="2020-03-02"/>
    <n v="6.3"/>
    <x v="0"/>
    <n v="2"/>
    <n v="0"/>
    <n v="40940.120000000003"/>
    <n v="576"/>
    <x v="4"/>
    <x v="0"/>
    <n v="1932923.44"/>
    <s v="Active"/>
    <s v="Debit Only"/>
    <n v="0"/>
    <n v="1"/>
    <n v="14822.95"/>
    <n v="51.9"/>
    <x v="0"/>
    <x v="2"/>
    <x v="1"/>
    <n v="78"/>
    <x v="0"/>
  </r>
  <r>
    <x v="783"/>
    <n v="50"/>
    <s v="Male"/>
    <s v="Divorced"/>
    <x v="1"/>
    <s v="Branch-Midtown"/>
    <s v="Freelancer"/>
    <s v="2019-03-20"/>
    <n v="7.3"/>
    <x v="2"/>
    <n v="3"/>
    <n v="0"/>
    <n v="9141.01"/>
    <n v="622"/>
    <x v="0"/>
    <x v="1"/>
    <n v="0"/>
    <s v="N/A"/>
    <s v="Debit Only"/>
    <n v="0"/>
    <n v="16"/>
    <n v="4641.38"/>
    <n v="3.2"/>
    <x v="0"/>
    <x v="3"/>
    <x v="4"/>
    <n v="317"/>
    <x v="0"/>
  </r>
  <r>
    <x v="784"/>
    <n v="59"/>
    <s v="Male"/>
    <s v="Divorced"/>
    <x v="0"/>
    <s v="Branch-Greenfield"/>
    <s v="Student"/>
    <s v="2020-01-01"/>
    <n v="6.5"/>
    <x v="0"/>
    <n v="5"/>
    <n v="128202.89"/>
    <n v="51805.84"/>
    <n v="699"/>
    <x v="1"/>
    <x v="1"/>
    <n v="0"/>
    <s v="N/A"/>
    <s v="None"/>
    <n v="0"/>
    <n v="39"/>
    <n v="9358.4599999999991"/>
    <n v="74.5"/>
    <x v="0"/>
    <x v="1"/>
    <x v="1"/>
    <n v="207"/>
    <x v="0"/>
  </r>
  <r>
    <x v="785"/>
    <n v="68"/>
    <s v="Male"/>
    <s v="Divorced"/>
    <x v="2"/>
    <s v="Branch-Harborview"/>
    <s v="Salaried"/>
    <s v="2023-08-26"/>
    <n v="2.8"/>
    <x v="1"/>
    <n v="5"/>
    <n v="0"/>
    <n v="38719.730000000003"/>
    <n v="696"/>
    <x v="1"/>
    <x v="1"/>
    <n v="0"/>
    <s v="N/A"/>
    <s v="Both"/>
    <n v="367233.53"/>
    <n v="15"/>
    <n v="8507.19"/>
    <n v="73.599999999999994"/>
    <x v="1"/>
    <x v="0"/>
    <x v="1"/>
    <n v="107"/>
    <x v="0"/>
  </r>
  <r>
    <x v="786"/>
    <n v="18"/>
    <s v="Female"/>
    <s v="Widowed"/>
    <x v="1"/>
    <s v="Branch-Southpark"/>
    <s v="Business Owner"/>
    <s v="2020-02-04"/>
    <n v="6.4"/>
    <x v="2"/>
    <n v="5"/>
    <n v="37216.39"/>
    <n v="40756.050000000003"/>
    <n v="560"/>
    <x v="4"/>
    <x v="3"/>
    <n v="1345417.78"/>
    <s v="Closed"/>
    <s v="None"/>
    <n v="0"/>
    <n v="6"/>
    <n v="8198.67"/>
    <n v="10"/>
    <x v="1"/>
    <x v="1"/>
    <x v="1"/>
    <n v="48"/>
    <x v="0"/>
  </r>
  <r>
    <x v="787"/>
    <n v="42"/>
    <s v="Female"/>
    <s v="Married"/>
    <x v="4"/>
    <s v="Branch-Southpark"/>
    <s v="Business Owner"/>
    <s v="2021-04-18"/>
    <n v="5.2"/>
    <x v="4"/>
    <n v="1"/>
    <n v="0"/>
    <n v="25015.31"/>
    <n v="640"/>
    <x v="0"/>
    <x v="0"/>
    <n v="864858.26"/>
    <s v="Active"/>
    <s v="Credit Only"/>
    <n v="44449.77"/>
    <n v="47"/>
    <n v="6886.07"/>
    <n v="23.7"/>
    <x v="1"/>
    <x v="0"/>
    <x v="4"/>
    <n v="200"/>
    <x v="0"/>
  </r>
  <r>
    <x v="788"/>
    <n v="74"/>
    <s v="Male"/>
    <s v="Married"/>
    <x v="1"/>
    <s v="Branch-Eastwood"/>
    <s v="Freelancer"/>
    <s v="2021-04-19"/>
    <n v="5.2"/>
    <x v="0"/>
    <n v="1"/>
    <n v="31127.61"/>
    <n v="32944.99"/>
    <n v="655"/>
    <x v="0"/>
    <x v="1"/>
    <n v="0"/>
    <s v="N/A"/>
    <s v="Both"/>
    <n v="310698.83"/>
    <n v="30"/>
    <n v="9184.61"/>
    <n v="11.2"/>
    <x v="3"/>
    <x v="4"/>
    <x v="0"/>
    <n v="393"/>
    <x v="0"/>
  </r>
  <r>
    <x v="789"/>
    <n v="35"/>
    <s v="Female"/>
    <s v="Widowed"/>
    <x v="2"/>
    <s v="Branch-Riverside"/>
    <s v="Salaried"/>
    <s v="2023-06-22"/>
    <n v="3"/>
    <x v="4"/>
    <n v="5"/>
    <n v="0"/>
    <n v="18638.150000000001"/>
    <n v="671"/>
    <x v="1"/>
    <x v="3"/>
    <n v="1081448.48"/>
    <s v="Closed"/>
    <s v="None"/>
    <n v="0"/>
    <n v="24"/>
    <n v="13364.08"/>
    <n v="92.9"/>
    <x v="0"/>
    <x v="0"/>
    <x v="4"/>
    <n v="120"/>
    <x v="0"/>
  </r>
  <r>
    <x v="790"/>
    <n v="57"/>
    <s v="Female"/>
    <s v="Single"/>
    <x v="1"/>
    <s v="Branch-Eastwood"/>
    <s v="Freelancer"/>
    <s v="2024-07-05"/>
    <n v="2"/>
    <x v="2"/>
    <n v="1"/>
    <n v="155998.81"/>
    <n v="35610.47"/>
    <n v="528"/>
    <x v="4"/>
    <x v="1"/>
    <n v="0"/>
    <s v="N/A"/>
    <s v="Credit Only"/>
    <n v="309551.84999999998"/>
    <n v="40"/>
    <n v="3136.97"/>
    <n v="27.6"/>
    <x v="0"/>
    <x v="2"/>
    <x v="1"/>
    <n v="76"/>
    <x v="0"/>
  </r>
  <r>
    <x v="791"/>
    <n v="50"/>
    <s v="Female"/>
    <s v="Widowed"/>
    <x v="0"/>
    <s v="Branch-Lakeview"/>
    <s v="Student"/>
    <s v="2022-11-01"/>
    <n v="3.7"/>
    <x v="2"/>
    <n v="3"/>
    <n v="16315.09"/>
    <n v="31848.29"/>
    <n v="789"/>
    <x v="2"/>
    <x v="0"/>
    <n v="1912615.78"/>
    <s v="Closed"/>
    <s v="Debit Only"/>
    <n v="0"/>
    <n v="57"/>
    <n v="3197.89"/>
    <n v="9.6"/>
    <x v="2"/>
    <x v="0"/>
    <x v="4"/>
    <n v="85"/>
    <x v="0"/>
  </r>
  <r>
    <x v="792"/>
    <n v="28"/>
    <s v="Male"/>
    <s v="Single"/>
    <x v="3"/>
    <s v="Branch-Greenfield"/>
    <s v="Freelancer"/>
    <s v="2024-08-09"/>
    <n v="1.9"/>
    <x v="3"/>
    <n v="2"/>
    <n v="22692.52"/>
    <n v="40110.94"/>
    <n v="758"/>
    <x v="2"/>
    <x v="1"/>
    <n v="0"/>
    <s v="N/A"/>
    <s v="Credit Only"/>
    <n v="320606.15999999997"/>
    <n v="19"/>
    <n v="4095.96"/>
    <n v="36.200000000000003"/>
    <x v="0"/>
    <x v="4"/>
    <x v="2"/>
    <n v="33"/>
    <x v="0"/>
  </r>
  <r>
    <x v="793"/>
    <n v="39"/>
    <s v="Male"/>
    <s v="Single"/>
    <x v="1"/>
    <s v="Branch-Lakeview"/>
    <s v="Retired"/>
    <s v="2020-07-15"/>
    <n v="6"/>
    <x v="1"/>
    <n v="2"/>
    <n v="75595.78"/>
    <n v="20160.439999999999"/>
    <n v="698"/>
    <x v="1"/>
    <x v="4"/>
    <n v="2401135.2200000002"/>
    <s v="Active"/>
    <s v="Both"/>
    <n v="64208.79"/>
    <n v="7"/>
    <n v="4251.2"/>
    <n v="59.6"/>
    <x v="1"/>
    <x v="0"/>
    <x v="2"/>
    <n v="188"/>
    <x v="0"/>
  </r>
  <r>
    <x v="794"/>
    <n v="47"/>
    <s v="Female"/>
    <s v="Divorced"/>
    <x v="3"/>
    <s v="Branch-Riverside"/>
    <s v="Salaried"/>
    <s v="2018-07-19"/>
    <n v="8"/>
    <x v="1"/>
    <n v="2"/>
    <n v="30068.43"/>
    <n v="55665.42"/>
    <n v="761"/>
    <x v="2"/>
    <x v="1"/>
    <n v="0"/>
    <s v="N/A"/>
    <s v="Credit Only"/>
    <n v="468722.8"/>
    <n v="20"/>
    <n v="9533.61"/>
    <n v="51.9"/>
    <x v="0"/>
    <x v="1"/>
    <x v="1"/>
    <n v="9"/>
    <x v="0"/>
  </r>
  <r>
    <x v="795"/>
    <n v="69"/>
    <s v="Female"/>
    <s v="Married"/>
    <x v="4"/>
    <s v="Branch-Northgate"/>
    <s v="Self-Employed"/>
    <s v="2021-11-25"/>
    <n v="4.5999999999999996"/>
    <x v="2"/>
    <n v="5"/>
    <n v="128680.45"/>
    <n v="38041.85"/>
    <n v="537"/>
    <x v="4"/>
    <x v="1"/>
    <n v="0"/>
    <s v="N/A"/>
    <s v="None"/>
    <n v="0"/>
    <n v="32"/>
    <n v="11275.76"/>
    <n v="61.9"/>
    <x v="0"/>
    <x v="3"/>
    <x v="1"/>
    <n v="120"/>
    <x v="0"/>
  </r>
  <r>
    <x v="796"/>
    <n v="48"/>
    <s v="Female"/>
    <s v="Married"/>
    <x v="1"/>
    <s v="Branch-Oakridge"/>
    <s v="Student"/>
    <s v="2018-09-22"/>
    <n v="7.8"/>
    <x v="3"/>
    <n v="5"/>
    <n v="19078.97"/>
    <n v="77093.149999999994"/>
    <n v="689"/>
    <x v="1"/>
    <x v="5"/>
    <n v="986961.06"/>
    <s v="Closed"/>
    <s v="Both"/>
    <n v="198916.01"/>
    <n v="34"/>
    <n v="7019.71"/>
    <n v="35.5"/>
    <x v="0"/>
    <x v="1"/>
    <x v="0"/>
    <n v="179"/>
    <x v="0"/>
  </r>
  <r>
    <x v="797"/>
    <n v="67"/>
    <s v="Male"/>
    <s v="Married"/>
    <x v="2"/>
    <s v="Branch-Harborview"/>
    <s v="Business Owner"/>
    <s v="2023-06-09"/>
    <n v="3.1"/>
    <x v="1"/>
    <n v="5"/>
    <n v="29322.05"/>
    <n v="15445.68"/>
    <n v="802"/>
    <x v="3"/>
    <x v="1"/>
    <n v="0"/>
    <s v="N/A"/>
    <s v="Debit Only"/>
    <n v="0"/>
    <n v="24"/>
    <n v="4451.93"/>
    <n v="80.2"/>
    <x v="3"/>
    <x v="4"/>
    <x v="1"/>
    <n v="131"/>
    <x v="0"/>
  </r>
  <r>
    <x v="798"/>
    <n v="24"/>
    <s v="Male"/>
    <s v="Married"/>
    <x v="2"/>
    <s v="Branch-Downtown"/>
    <s v="Self-Employed"/>
    <s v="2021-11-04"/>
    <n v="4.7"/>
    <x v="0"/>
    <n v="5"/>
    <n v="41709.47"/>
    <n v="43787.49"/>
    <n v="706"/>
    <x v="1"/>
    <x v="5"/>
    <n v="80127.41"/>
    <s v="Defaulted"/>
    <s v="Both"/>
    <n v="445401.79"/>
    <n v="49"/>
    <n v="14316.23"/>
    <n v="55.6"/>
    <x v="1"/>
    <x v="3"/>
    <x v="3"/>
    <n v="268"/>
    <x v="0"/>
  </r>
  <r>
    <x v="799"/>
    <n v="46"/>
    <s v="Male"/>
    <s v="Divorced"/>
    <x v="0"/>
    <s v="Branch-Harborview"/>
    <s v="Freelancer"/>
    <s v="2023-05-04"/>
    <n v="3.2"/>
    <x v="2"/>
    <n v="3"/>
    <n v="111726.76"/>
    <n v="73541.61"/>
    <n v="719"/>
    <x v="1"/>
    <x v="1"/>
    <n v="0"/>
    <s v="N/A"/>
    <s v="None"/>
    <n v="0"/>
    <n v="56"/>
    <n v="8483.6299999999992"/>
    <n v="72.7"/>
    <x v="0"/>
    <x v="0"/>
    <x v="1"/>
    <n v="1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B27CE2-150C-461A-8825-29D17CD2963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D10" firstHeaderRow="1" firstDataRow="2" firstDataCol="1"/>
  <pivotFields count="28">
    <pivotField dataField="1" showAll="0"/>
    <pivotField showAll="0"/>
    <pivotField showAll="0"/>
    <pivotField showAll="0"/>
    <pivotField axis="axisRow" showAll="0">
      <items count="6">
        <item x="1"/>
        <item x="3"/>
        <item x="0"/>
        <item x="2"/>
        <item x="4"/>
        <item t="default"/>
      </items>
    </pivotField>
    <pivotField showAll="0"/>
    <pivotField showAll="0"/>
    <pivotField showAll="0"/>
    <pivotField showAll="0"/>
    <pivotField showAll="0">
      <items count="6">
        <item x="2"/>
        <item x="4"/>
        <item x="3"/>
        <item x="0"/>
        <item x="1"/>
        <item t="default"/>
      </items>
    </pivotField>
    <pivotField showAll="0"/>
    <pivotField showAll="0"/>
    <pivotField showAll="0"/>
    <pivotField showAll="0"/>
    <pivotField showAll="0">
      <items count="6">
        <item x="3"/>
        <item x="0"/>
        <item x="1"/>
        <item x="4"/>
        <item x="2"/>
        <item t="default"/>
      </items>
    </pivotField>
    <pivotField showAll="0">
      <items count="7">
        <item x="2"/>
        <item x="0"/>
        <item x="4"/>
        <item x="3"/>
        <item x="1"/>
        <item x="5"/>
        <item t="default"/>
      </items>
    </pivotField>
    <pivotField showAll="0"/>
    <pivotField showAll="0"/>
    <pivotField showAll="0"/>
    <pivotField showAll="0"/>
    <pivotField showAll="0"/>
    <pivotField showAll="0"/>
    <pivotField showAll="0"/>
    <pivotField showAll="0"/>
    <pivotField showAll="0">
      <items count="6">
        <item x="0"/>
        <item x="1"/>
        <item x="3"/>
        <item x="2"/>
        <item x="4"/>
        <item t="default"/>
      </items>
    </pivotField>
    <pivotField showAll="0"/>
    <pivotField showAll="0"/>
    <pivotField axis="axisCol" showAll="0">
      <items count="3">
        <item x="0"/>
        <item x="1"/>
        <item t="default"/>
      </items>
    </pivotField>
  </pivotFields>
  <rowFields count="1">
    <field x="4"/>
  </rowFields>
  <rowItems count="6">
    <i>
      <x/>
    </i>
    <i>
      <x v="1"/>
    </i>
    <i>
      <x v="2"/>
    </i>
    <i>
      <x v="3"/>
    </i>
    <i>
      <x v="4"/>
    </i>
    <i t="grand">
      <x/>
    </i>
  </rowItems>
  <colFields count="1">
    <field x="27"/>
  </colFields>
  <colItems count="3">
    <i>
      <x/>
    </i>
    <i>
      <x v="1"/>
    </i>
    <i t="grand">
      <x/>
    </i>
  </colItems>
  <dataFields count="1">
    <dataField name="Count of CustomerID" fld="0" subtotal="count" baseField="4" baseItem="0"/>
  </dataFields>
  <chartFormats count="24">
    <chartFormat chart="0" format="0" series="1">
      <pivotArea type="data" outline="0" fieldPosition="0">
        <references count="2">
          <reference field="4294967294" count="1" selected="0">
            <x v="0"/>
          </reference>
          <reference field="27" count="1" selected="0">
            <x v="0"/>
          </reference>
        </references>
      </pivotArea>
    </chartFormat>
    <chartFormat chart="0" format="1" series="1">
      <pivotArea type="data" outline="0" fieldPosition="0">
        <references count="2">
          <reference field="4294967294" count="1" selected="0">
            <x v="0"/>
          </reference>
          <reference field="27" count="1" selected="0">
            <x v="1"/>
          </reference>
        </references>
      </pivotArea>
    </chartFormat>
    <chartFormat chart="15" format="14" series="1">
      <pivotArea type="data" outline="0" fieldPosition="0">
        <references count="2">
          <reference field="4294967294" count="1" selected="0">
            <x v="0"/>
          </reference>
          <reference field="27" count="1" selected="0">
            <x v="0"/>
          </reference>
        </references>
      </pivotArea>
    </chartFormat>
    <chartFormat chart="15" format="15">
      <pivotArea type="data" outline="0" fieldPosition="0">
        <references count="3">
          <reference field="4294967294" count="1" selected="0">
            <x v="0"/>
          </reference>
          <reference field="4" count="1" selected="0">
            <x v="0"/>
          </reference>
          <reference field="27" count="1" selected="0">
            <x v="0"/>
          </reference>
        </references>
      </pivotArea>
    </chartFormat>
    <chartFormat chart="15" format="16">
      <pivotArea type="data" outline="0" fieldPosition="0">
        <references count="3">
          <reference field="4294967294" count="1" selected="0">
            <x v="0"/>
          </reference>
          <reference field="4" count="1" selected="0">
            <x v="1"/>
          </reference>
          <reference field="27" count="1" selected="0">
            <x v="0"/>
          </reference>
        </references>
      </pivotArea>
    </chartFormat>
    <chartFormat chart="15" format="17">
      <pivotArea type="data" outline="0" fieldPosition="0">
        <references count="3">
          <reference field="4294967294" count="1" selected="0">
            <x v="0"/>
          </reference>
          <reference field="4" count="1" selected="0">
            <x v="2"/>
          </reference>
          <reference field="27" count="1" selected="0">
            <x v="0"/>
          </reference>
        </references>
      </pivotArea>
    </chartFormat>
    <chartFormat chart="15" format="18">
      <pivotArea type="data" outline="0" fieldPosition="0">
        <references count="3">
          <reference field="4294967294" count="1" selected="0">
            <x v="0"/>
          </reference>
          <reference field="4" count="1" selected="0">
            <x v="3"/>
          </reference>
          <reference field="27" count="1" selected="0">
            <x v="0"/>
          </reference>
        </references>
      </pivotArea>
    </chartFormat>
    <chartFormat chart="15" format="19">
      <pivotArea type="data" outline="0" fieldPosition="0">
        <references count="3">
          <reference field="4294967294" count="1" selected="0">
            <x v="0"/>
          </reference>
          <reference field="4" count="1" selected="0">
            <x v="4"/>
          </reference>
          <reference field="27" count="1" selected="0">
            <x v="0"/>
          </reference>
        </references>
      </pivotArea>
    </chartFormat>
    <chartFormat chart="15" format="20" series="1">
      <pivotArea type="data" outline="0" fieldPosition="0">
        <references count="2">
          <reference field="4294967294" count="1" selected="0">
            <x v="0"/>
          </reference>
          <reference field="27" count="1" selected="0">
            <x v="1"/>
          </reference>
        </references>
      </pivotArea>
    </chartFormat>
    <chartFormat chart="15" format="21">
      <pivotArea type="data" outline="0" fieldPosition="0">
        <references count="3">
          <reference field="4294967294" count="1" selected="0">
            <x v="0"/>
          </reference>
          <reference field="4" count="1" selected="0">
            <x v="0"/>
          </reference>
          <reference field="27" count="1" selected="0">
            <x v="1"/>
          </reference>
        </references>
      </pivotArea>
    </chartFormat>
    <chartFormat chart="15" format="22">
      <pivotArea type="data" outline="0" fieldPosition="0">
        <references count="3">
          <reference field="4294967294" count="1" selected="0">
            <x v="0"/>
          </reference>
          <reference field="4" count="1" selected="0">
            <x v="1"/>
          </reference>
          <reference field="27" count="1" selected="0">
            <x v="1"/>
          </reference>
        </references>
      </pivotArea>
    </chartFormat>
    <chartFormat chart="15" format="23">
      <pivotArea type="data" outline="0" fieldPosition="0">
        <references count="3">
          <reference field="4294967294" count="1" selected="0">
            <x v="0"/>
          </reference>
          <reference field="4" count="1" selected="0">
            <x v="2"/>
          </reference>
          <reference field="27" count="1" selected="0">
            <x v="1"/>
          </reference>
        </references>
      </pivotArea>
    </chartFormat>
    <chartFormat chart="15" format="24">
      <pivotArea type="data" outline="0" fieldPosition="0">
        <references count="3">
          <reference field="4294967294" count="1" selected="0">
            <x v="0"/>
          </reference>
          <reference field="4" count="1" selected="0">
            <x v="3"/>
          </reference>
          <reference field="27" count="1" selected="0">
            <x v="1"/>
          </reference>
        </references>
      </pivotArea>
    </chartFormat>
    <chartFormat chart="15" format="25">
      <pivotArea type="data" outline="0" fieldPosition="0">
        <references count="3">
          <reference field="4294967294" count="1" selected="0">
            <x v="0"/>
          </reference>
          <reference field="4" count="1" selected="0">
            <x v="4"/>
          </reference>
          <reference field="27" count="1" selected="0">
            <x v="1"/>
          </reference>
        </references>
      </pivotArea>
    </chartFormat>
    <chartFormat chart="0" format="2">
      <pivotArea type="data" outline="0" fieldPosition="0">
        <references count="3">
          <reference field="4294967294" count="1" selected="0">
            <x v="0"/>
          </reference>
          <reference field="4" count="1" selected="0">
            <x v="0"/>
          </reference>
          <reference field="27" count="1" selected="0">
            <x v="0"/>
          </reference>
        </references>
      </pivotArea>
    </chartFormat>
    <chartFormat chart="0" format="3">
      <pivotArea type="data" outline="0" fieldPosition="0">
        <references count="3">
          <reference field="4294967294" count="1" selected="0">
            <x v="0"/>
          </reference>
          <reference field="4" count="1" selected="0">
            <x v="1"/>
          </reference>
          <reference field="27" count="1" selected="0">
            <x v="0"/>
          </reference>
        </references>
      </pivotArea>
    </chartFormat>
    <chartFormat chart="0" format="4">
      <pivotArea type="data" outline="0" fieldPosition="0">
        <references count="3">
          <reference field="4294967294" count="1" selected="0">
            <x v="0"/>
          </reference>
          <reference field="4" count="1" selected="0">
            <x v="2"/>
          </reference>
          <reference field="27" count="1" selected="0">
            <x v="0"/>
          </reference>
        </references>
      </pivotArea>
    </chartFormat>
    <chartFormat chart="0" format="5">
      <pivotArea type="data" outline="0" fieldPosition="0">
        <references count="3">
          <reference field="4294967294" count="1" selected="0">
            <x v="0"/>
          </reference>
          <reference field="4" count="1" selected="0">
            <x v="3"/>
          </reference>
          <reference field="27" count="1" selected="0">
            <x v="0"/>
          </reference>
        </references>
      </pivotArea>
    </chartFormat>
    <chartFormat chart="0" format="6">
      <pivotArea type="data" outline="0" fieldPosition="0">
        <references count="3">
          <reference field="4294967294" count="1" selected="0">
            <x v="0"/>
          </reference>
          <reference field="4" count="1" selected="0">
            <x v="4"/>
          </reference>
          <reference field="27" count="1" selected="0">
            <x v="0"/>
          </reference>
        </references>
      </pivotArea>
    </chartFormat>
    <chartFormat chart="0" format="7">
      <pivotArea type="data" outline="0" fieldPosition="0">
        <references count="3">
          <reference field="4294967294" count="1" selected="0">
            <x v="0"/>
          </reference>
          <reference field="4" count="1" selected="0">
            <x v="0"/>
          </reference>
          <reference field="27" count="1" selected="0">
            <x v="1"/>
          </reference>
        </references>
      </pivotArea>
    </chartFormat>
    <chartFormat chart="0" format="8">
      <pivotArea type="data" outline="0" fieldPosition="0">
        <references count="3">
          <reference field="4294967294" count="1" selected="0">
            <x v="0"/>
          </reference>
          <reference field="4" count="1" selected="0">
            <x v="1"/>
          </reference>
          <reference field="27" count="1" selected="0">
            <x v="1"/>
          </reference>
        </references>
      </pivotArea>
    </chartFormat>
    <chartFormat chart="0" format="9">
      <pivotArea type="data" outline="0" fieldPosition="0">
        <references count="3">
          <reference field="4294967294" count="1" selected="0">
            <x v="0"/>
          </reference>
          <reference field="4" count="1" selected="0">
            <x v="2"/>
          </reference>
          <reference field="27" count="1" selected="0">
            <x v="1"/>
          </reference>
        </references>
      </pivotArea>
    </chartFormat>
    <chartFormat chart="0" format="10">
      <pivotArea type="data" outline="0" fieldPosition="0">
        <references count="3">
          <reference field="4294967294" count="1" selected="0">
            <x v="0"/>
          </reference>
          <reference field="4" count="1" selected="0">
            <x v="3"/>
          </reference>
          <reference field="27" count="1" selected="0">
            <x v="1"/>
          </reference>
        </references>
      </pivotArea>
    </chartFormat>
    <chartFormat chart="0" format="11">
      <pivotArea type="data" outline="0" fieldPosition="0">
        <references count="3">
          <reference field="4294967294" count="1" selected="0">
            <x v="0"/>
          </reference>
          <reference field="4" count="1" selected="0">
            <x v="4"/>
          </reference>
          <reference field="2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081590-2163-4CB0-AA19-A2A414101FD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10" firstHeaderRow="1" firstDataRow="2" firstDataCol="1"/>
  <pivotFields count="28">
    <pivotField dataField="1"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items count="6">
        <item x="1"/>
        <item x="3"/>
        <item x="0"/>
        <item x="2"/>
        <item x="4"/>
        <item t="default"/>
      </items>
    </pivotField>
    <pivotField showAll="0"/>
    <pivotField showAll="0"/>
    <pivotField showAll="0"/>
    <pivotField showAll="0"/>
    <pivotField showAll="0">
      <items count="6">
        <item x="2"/>
        <item x="4"/>
        <item x="3"/>
        <item x="0"/>
        <item x="1"/>
        <item t="default"/>
      </items>
    </pivotField>
    <pivotField showAll="0"/>
    <pivotField showAll="0"/>
    <pivotField showAll="0"/>
    <pivotField showAll="0"/>
    <pivotField axis="axisRow" showAll="0">
      <items count="6">
        <item x="3"/>
        <item x="0"/>
        <item x="1"/>
        <item x="4"/>
        <item x="2"/>
        <item t="default"/>
      </items>
    </pivotField>
    <pivotField showAll="0">
      <items count="7">
        <item x="2"/>
        <item x="0"/>
        <item x="4"/>
        <item x="3"/>
        <item x="1"/>
        <item x="5"/>
        <item t="default"/>
      </items>
    </pivotField>
    <pivotField showAll="0"/>
    <pivotField showAll="0"/>
    <pivotField showAll="0"/>
    <pivotField showAll="0"/>
    <pivotField showAll="0"/>
    <pivotField showAll="0"/>
    <pivotField showAll="0"/>
    <pivotField showAll="0"/>
    <pivotField showAll="0">
      <items count="6">
        <item x="0"/>
        <item x="1"/>
        <item x="3"/>
        <item x="2"/>
        <item x="4"/>
        <item t="default"/>
      </items>
    </pivotField>
    <pivotField showAll="0"/>
    <pivotField showAll="0"/>
    <pivotField axis="axisCol" showAll="0">
      <items count="3">
        <item x="0"/>
        <item x="1"/>
        <item t="default"/>
      </items>
    </pivotField>
  </pivotFields>
  <rowFields count="1">
    <field x="14"/>
  </rowFields>
  <rowItems count="6">
    <i>
      <x/>
    </i>
    <i>
      <x v="1"/>
    </i>
    <i>
      <x v="2"/>
    </i>
    <i>
      <x v="3"/>
    </i>
    <i>
      <x v="4"/>
    </i>
    <i t="grand">
      <x/>
    </i>
  </rowItems>
  <colFields count="1">
    <field x="27"/>
  </colFields>
  <colItems count="3">
    <i>
      <x/>
    </i>
    <i>
      <x v="1"/>
    </i>
    <i t="grand">
      <x/>
    </i>
  </colItems>
  <dataFields count="1">
    <dataField name="Count of CustomerID" fld="0" subtotal="count" baseField="14" baseItem="0"/>
  </dataFields>
  <chartFormats count="4">
    <chartFormat chart="0" format="0" series="1">
      <pivotArea type="data" outline="0" fieldPosition="0">
        <references count="2">
          <reference field="4294967294" count="1" selected="0">
            <x v="0"/>
          </reference>
          <reference field="27" count="1" selected="0">
            <x v="0"/>
          </reference>
        </references>
      </pivotArea>
    </chartFormat>
    <chartFormat chart="0" format="1" series="1">
      <pivotArea type="data" outline="0" fieldPosition="0">
        <references count="2">
          <reference field="4294967294" count="1" selected="0">
            <x v="0"/>
          </reference>
          <reference field="27" count="1" selected="0">
            <x v="1"/>
          </reference>
        </references>
      </pivotArea>
    </chartFormat>
    <chartFormat chart="5" format="4" series="1">
      <pivotArea type="data" outline="0" fieldPosition="0">
        <references count="2">
          <reference field="4294967294" count="1" selected="0">
            <x v="0"/>
          </reference>
          <reference field="27" count="1" selected="0">
            <x v="0"/>
          </reference>
        </references>
      </pivotArea>
    </chartFormat>
    <chartFormat chart="5" format="5" series="1">
      <pivotArea type="data" outline="0" fieldPosition="0">
        <references count="2">
          <reference field="4294967294" count="1" selected="0">
            <x v="0"/>
          </reference>
          <reference field="2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892479-736A-448F-9295-E86341536C5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9" firstHeaderRow="0" firstDataRow="1" firstDataCol="1"/>
  <pivotFields count="28">
    <pivotField showAll="0"/>
    <pivotField showAll="0"/>
    <pivotField showAll="0"/>
    <pivotField showAll="0"/>
    <pivotField showAll="0">
      <items count="6">
        <item x="1"/>
        <item x="3"/>
        <item x="0"/>
        <item x="2"/>
        <item x="4"/>
        <item t="default"/>
      </items>
    </pivotField>
    <pivotField showAll="0"/>
    <pivotField showAll="0"/>
    <pivotField showAll="0"/>
    <pivotField showAll="0"/>
    <pivotField axis="axisRow" showAll="0">
      <items count="6">
        <item x="2"/>
        <item x="4"/>
        <item x="3"/>
        <item x="0"/>
        <item x="1"/>
        <item t="default"/>
      </items>
    </pivotField>
    <pivotField showAll="0"/>
    <pivotField dataField="1" showAll="0"/>
    <pivotField dataField="1" showAll="0"/>
    <pivotField showAll="0"/>
    <pivotField showAll="0">
      <items count="6">
        <item x="3"/>
        <item x="0"/>
        <item x="1"/>
        <item x="4"/>
        <item x="2"/>
        <item t="default"/>
      </items>
    </pivotField>
    <pivotField showAll="0">
      <items count="7">
        <item x="2"/>
        <item x="0"/>
        <item x="4"/>
        <item x="3"/>
        <item x="1"/>
        <item x="5"/>
        <item t="default"/>
      </items>
    </pivotField>
    <pivotField showAll="0"/>
    <pivotField showAll="0"/>
    <pivotField showAll="0"/>
    <pivotField showAll="0"/>
    <pivotField showAll="0"/>
    <pivotField showAll="0"/>
    <pivotField showAll="0"/>
    <pivotField showAll="0"/>
    <pivotField showAll="0">
      <items count="6">
        <item x="0"/>
        <item x="1"/>
        <item x="3"/>
        <item x="2"/>
        <item x="4"/>
        <item t="default"/>
      </items>
    </pivotField>
    <pivotField showAll="0"/>
    <pivotField showAll="0"/>
    <pivotField showAll="0">
      <items count="3">
        <item x="0"/>
        <item x="1"/>
        <item t="default"/>
      </items>
    </pivotField>
  </pivotFields>
  <rowFields count="1">
    <field x="9"/>
  </rowFields>
  <rowItems count="6">
    <i>
      <x/>
    </i>
    <i>
      <x v="1"/>
    </i>
    <i>
      <x v="2"/>
    </i>
    <i>
      <x v="3"/>
    </i>
    <i>
      <x v="4"/>
    </i>
    <i t="grand">
      <x/>
    </i>
  </rowItems>
  <colFields count="1">
    <field x="-2"/>
  </colFields>
  <colItems count="2">
    <i>
      <x/>
    </i>
    <i i="1">
      <x v="1"/>
    </i>
  </colItems>
  <dataFields count="2">
    <dataField name="Average of AccountBalance" fld="11" subtotal="average" baseField="9" baseItem="0"/>
    <dataField name="Average of MonthlyIncome" fld="12" subtotal="average" baseField="9"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BD6AFA-85E3-400A-B98A-47974564D49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28">
    <pivotField dataField="1" showAll="0"/>
    <pivotField showAll="0"/>
    <pivotField showAll="0"/>
    <pivotField showAll="0"/>
    <pivotField showAll="0">
      <items count="6">
        <item x="1"/>
        <item x="3"/>
        <item x="0"/>
        <item x="2"/>
        <item x="4"/>
        <item t="default"/>
      </items>
    </pivotField>
    <pivotField showAll="0"/>
    <pivotField showAll="0"/>
    <pivotField showAll="0"/>
    <pivotField showAll="0"/>
    <pivotField showAll="0">
      <items count="6">
        <item x="2"/>
        <item x="4"/>
        <item x="3"/>
        <item x="0"/>
        <item x="1"/>
        <item t="default"/>
      </items>
    </pivotField>
    <pivotField showAll="0"/>
    <pivotField showAll="0"/>
    <pivotField showAll="0"/>
    <pivotField showAll="0"/>
    <pivotField showAll="0">
      <items count="6">
        <item x="3"/>
        <item x="0"/>
        <item x="1"/>
        <item x="4"/>
        <item x="2"/>
        <item t="default"/>
      </items>
    </pivotField>
    <pivotField showAll="0">
      <items count="7">
        <item x="2"/>
        <item x="0"/>
        <item x="4"/>
        <item x="3"/>
        <item x="1"/>
        <item x="5"/>
        <item t="default"/>
      </items>
    </pivotField>
    <pivotField showAll="0"/>
    <pivotField showAll="0"/>
    <pivotField showAll="0"/>
    <pivotField showAll="0"/>
    <pivotField showAll="0"/>
    <pivotField showAll="0"/>
    <pivotField showAll="0"/>
    <pivotField showAll="0"/>
    <pivotField showAll="0">
      <items count="6">
        <item x="0"/>
        <item x="1"/>
        <item x="3"/>
        <item x="2"/>
        <item x="4"/>
        <item t="default"/>
      </items>
    </pivotField>
    <pivotField axis="axisRow" showAll="0">
      <items count="6">
        <item x="0"/>
        <item x="4"/>
        <item x="1"/>
        <item x="3"/>
        <item x="2"/>
        <item t="default"/>
      </items>
    </pivotField>
    <pivotField showAll="0"/>
    <pivotField showAll="0">
      <items count="3">
        <item x="0"/>
        <item x="1"/>
        <item t="default"/>
      </items>
    </pivotField>
  </pivotFields>
  <rowFields count="1">
    <field x="25"/>
  </rowFields>
  <rowItems count="6">
    <i>
      <x/>
    </i>
    <i>
      <x v="1"/>
    </i>
    <i>
      <x v="2"/>
    </i>
    <i>
      <x v="3"/>
    </i>
    <i>
      <x v="4"/>
    </i>
    <i t="grand">
      <x/>
    </i>
  </rowItems>
  <colItems count="1">
    <i/>
  </colItems>
  <dataFields count="1">
    <dataField name="Count of CustomerID" fld="0" subtotal="count" baseField="0" baseItem="0"/>
  </dataFields>
  <chartFormats count="12">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25" count="1" selected="0">
            <x v="0"/>
          </reference>
        </references>
      </pivotArea>
    </chartFormat>
    <chartFormat chart="5" format="9">
      <pivotArea type="data" outline="0" fieldPosition="0">
        <references count="2">
          <reference field="4294967294" count="1" selected="0">
            <x v="0"/>
          </reference>
          <reference field="25" count="1" selected="0">
            <x v="1"/>
          </reference>
        </references>
      </pivotArea>
    </chartFormat>
    <chartFormat chart="5" format="10">
      <pivotArea type="data" outline="0" fieldPosition="0">
        <references count="2">
          <reference field="4294967294" count="1" selected="0">
            <x v="0"/>
          </reference>
          <reference field="25" count="1" selected="0">
            <x v="2"/>
          </reference>
        </references>
      </pivotArea>
    </chartFormat>
    <chartFormat chart="5" format="11">
      <pivotArea type="data" outline="0" fieldPosition="0">
        <references count="2">
          <reference field="4294967294" count="1" selected="0">
            <x v="0"/>
          </reference>
          <reference field="25" count="1" selected="0">
            <x v="3"/>
          </reference>
        </references>
      </pivotArea>
    </chartFormat>
    <chartFormat chart="5" format="12">
      <pivotArea type="data" outline="0" fieldPosition="0">
        <references count="2">
          <reference field="4294967294" count="1" selected="0">
            <x v="0"/>
          </reference>
          <reference field="25" count="1" selected="0">
            <x v="4"/>
          </reference>
        </references>
      </pivotArea>
    </chartFormat>
    <chartFormat chart="0" format="1">
      <pivotArea type="data" outline="0" fieldPosition="0">
        <references count="2">
          <reference field="4294967294" count="1" selected="0">
            <x v="0"/>
          </reference>
          <reference field="25" count="1" selected="0">
            <x v="0"/>
          </reference>
        </references>
      </pivotArea>
    </chartFormat>
    <chartFormat chart="0" format="2">
      <pivotArea type="data" outline="0" fieldPosition="0">
        <references count="2">
          <reference field="4294967294" count="1" selected="0">
            <x v="0"/>
          </reference>
          <reference field="25" count="1" selected="0">
            <x v="1"/>
          </reference>
        </references>
      </pivotArea>
    </chartFormat>
    <chartFormat chart="0" format="3">
      <pivotArea type="data" outline="0" fieldPosition="0">
        <references count="2">
          <reference field="4294967294" count="1" selected="0">
            <x v="0"/>
          </reference>
          <reference field="25" count="1" selected="0">
            <x v="2"/>
          </reference>
        </references>
      </pivotArea>
    </chartFormat>
    <chartFormat chart="0" format="4">
      <pivotArea type="data" outline="0" fieldPosition="0">
        <references count="2">
          <reference field="4294967294" count="1" selected="0">
            <x v="0"/>
          </reference>
          <reference field="25" count="1" selected="0">
            <x v="3"/>
          </reference>
        </references>
      </pivotArea>
    </chartFormat>
    <chartFormat chart="0" format="5">
      <pivotArea type="data" outline="0" fieldPosition="0">
        <references count="2">
          <reference field="4294967294" count="1" selected="0">
            <x v="0"/>
          </reference>
          <reference field="2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B028A9-BF01-4404-B84A-356996B4684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10" firstHeaderRow="1" firstDataRow="2" firstDataCol="1"/>
  <pivotFields count="28">
    <pivotField dataField="1" showAll="0"/>
    <pivotField showAll="0"/>
    <pivotField showAll="0"/>
    <pivotField showAll="0"/>
    <pivotField showAll="0">
      <items count="6">
        <item x="1"/>
        <item x="3"/>
        <item x="0"/>
        <item x="2"/>
        <item x="4"/>
        <item t="default"/>
      </items>
    </pivotField>
    <pivotField showAll="0"/>
    <pivotField showAll="0"/>
    <pivotField showAll="0"/>
    <pivotField showAll="0"/>
    <pivotField showAll="0">
      <items count="6">
        <item x="2"/>
        <item x="4"/>
        <item x="3"/>
        <item x="0"/>
        <item x="1"/>
        <item t="default"/>
      </items>
    </pivotField>
    <pivotField showAll="0"/>
    <pivotField showAll="0"/>
    <pivotField showAll="0"/>
    <pivotField showAll="0"/>
    <pivotField showAll="0">
      <items count="6">
        <item x="3"/>
        <item x="0"/>
        <item x="1"/>
        <item x="4"/>
        <item x="2"/>
        <item t="default"/>
      </items>
    </pivotField>
    <pivotField showAll="0">
      <items count="7">
        <item x="2"/>
        <item x="0"/>
        <item x="4"/>
        <item x="3"/>
        <item x="1"/>
        <item x="5"/>
        <item t="default"/>
      </items>
    </pivotField>
    <pivotField showAll="0"/>
    <pivotField showAll="0"/>
    <pivotField showAll="0"/>
    <pivotField showAll="0"/>
    <pivotField showAll="0"/>
    <pivotField showAll="0"/>
    <pivotField showAll="0"/>
    <pivotField axis="axisRow" showAll="0">
      <items count="6">
        <item x="0"/>
        <item x="1"/>
        <item x="2"/>
        <item x="4"/>
        <item x="3"/>
        <item t="default"/>
      </items>
    </pivotField>
    <pivotField showAll="0">
      <items count="6">
        <item x="0"/>
        <item x="1"/>
        <item x="3"/>
        <item x="2"/>
        <item x="4"/>
        <item t="default"/>
      </items>
    </pivotField>
    <pivotField showAll="0"/>
    <pivotField showAll="0"/>
    <pivotField axis="axisCol" showAll="0">
      <items count="3">
        <item x="0"/>
        <item x="1"/>
        <item t="default"/>
      </items>
    </pivotField>
  </pivotFields>
  <rowFields count="1">
    <field x="23"/>
  </rowFields>
  <rowItems count="6">
    <i>
      <x/>
    </i>
    <i>
      <x v="1"/>
    </i>
    <i>
      <x v="2"/>
    </i>
    <i>
      <x v="3"/>
    </i>
    <i>
      <x v="4"/>
    </i>
    <i t="grand">
      <x/>
    </i>
  </rowItems>
  <colFields count="1">
    <field x="27"/>
  </colFields>
  <colItems count="3">
    <i>
      <x/>
    </i>
    <i>
      <x v="1"/>
    </i>
    <i t="grand">
      <x/>
    </i>
  </colItems>
  <dataFields count="1">
    <dataField name="Count of CustomerID" fld="0" subtotal="count" baseField="0" baseItem="0"/>
  </dataFields>
  <chartFormats count="8">
    <chartFormat chart="0" format="0" series="1">
      <pivotArea type="data" outline="0" fieldPosition="0">
        <references count="2">
          <reference field="4294967294" count="1" selected="0">
            <x v="0"/>
          </reference>
          <reference field="27" count="1" selected="0">
            <x v="0"/>
          </reference>
        </references>
      </pivotArea>
    </chartFormat>
    <chartFormat chart="0" format="1" series="1">
      <pivotArea type="data" outline="0" fieldPosition="0">
        <references count="2">
          <reference field="4294967294" count="1" selected="0">
            <x v="0"/>
          </reference>
          <reference field="27" count="1" selected="0">
            <x v="1"/>
          </reference>
        </references>
      </pivotArea>
    </chartFormat>
    <chartFormat chart="0" format="2">
      <pivotArea type="data" outline="0" fieldPosition="0">
        <references count="3">
          <reference field="4294967294" count="1" selected="0">
            <x v="0"/>
          </reference>
          <reference field="23" count="1" selected="0">
            <x v="3"/>
          </reference>
          <reference field="27" count="1" selected="0">
            <x v="1"/>
          </reference>
        </references>
      </pivotArea>
    </chartFormat>
    <chartFormat chart="0" format="3">
      <pivotArea type="data" outline="0" fieldPosition="0">
        <references count="3">
          <reference field="4294967294" count="1" selected="0">
            <x v="0"/>
          </reference>
          <reference field="23" count="1" selected="0">
            <x v="4"/>
          </reference>
          <reference field="27" count="1" selected="0">
            <x v="1"/>
          </reference>
        </references>
      </pivotArea>
    </chartFormat>
    <chartFormat chart="5" format="8" series="1">
      <pivotArea type="data" outline="0" fieldPosition="0">
        <references count="2">
          <reference field="4294967294" count="1" selected="0">
            <x v="0"/>
          </reference>
          <reference field="27" count="1" selected="0">
            <x v="0"/>
          </reference>
        </references>
      </pivotArea>
    </chartFormat>
    <chartFormat chart="5" format="9" series="1">
      <pivotArea type="data" outline="0" fieldPosition="0">
        <references count="2">
          <reference field="4294967294" count="1" selected="0">
            <x v="0"/>
          </reference>
          <reference field="27" count="1" selected="0">
            <x v="1"/>
          </reference>
        </references>
      </pivotArea>
    </chartFormat>
    <chartFormat chart="5" format="10">
      <pivotArea type="data" outline="0" fieldPosition="0">
        <references count="3">
          <reference field="4294967294" count="1" selected="0">
            <x v="0"/>
          </reference>
          <reference field="23" count="1" selected="0">
            <x v="3"/>
          </reference>
          <reference field="27" count="1" selected="0">
            <x v="1"/>
          </reference>
        </references>
      </pivotArea>
    </chartFormat>
    <chartFormat chart="5" format="11">
      <pivotArea type="data" outline="0" fieldPosition="0">
        <references count="3">
          <reference field="4294967294" count="1" selected="0">
            <x v="0"/>
          </reference>
          <reference field="23" count="1" selected="0">
            <x v="4"/>
          </reference>
          <reference field="2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CDA1AB-7C7A-415D-AF65-32A033280A0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11" firstHeaderRow="1" firstDataRow="2" firstDataCol="1"/>
  <pivotFields count="28">
    <pivotField dataField="1" showAll="0"/>
    <pivotField showAll="0"/>
    <pivotField showAll="0"/>
    <pivotField showAll="0"/>
    <pivotField showAll="0">
      <items count="6">
        <item x="1"/>
        <item x="3"/>
        <item x="0"/>
        <item x="2"/>
        <item x="4"/>
        <item t="default"/>
      </items>
    </pivotField>
    <pivotField showAll="0"/>
    <pivotField showAll="0"/>
    <pivotField showAll="0"/>
    <pivotField showAll="0"/>
    <pivotField showAll="0">
      <items count="6">
        <item x="2"/>
        <item x="4"/>
        <item x="3"/>
        <item x="0"/>
        <item x="1"/>
        <item t="default"/>
      </items>
    </pivotField>
    <pivotField showAll="0"/>
    <pivotField showAll="0"/>
    <pivotField showAll="0"/>
    <pivotField showAll="0"/>
    <pivotField showAll="0">
      <items count="6">
        <item x="3"/>
        <item x="0"/>
        <item x="1"/>
        <item x="4"/>
        <item x="2"/>
        <item t="default"/>
      </items>
    </pivotField>
    <pivotField axis="axisRow" showAll="0">
      <items count="7">
        <item x="2"/>
        <item x="0"/>
        <item x="4"/>
        <item x="3"/>
        <item x="1"/>
        <item x="5"/>
        <item t="default"/>
      </items>
    </pivotField>
    <pivotField showAll="0"/>
    <pivotField showAll="0"/>
    <pivotField showAll="0"/>
    <pivotField showAll="0"/>
    <pivotField showAll="0"/>
    <pivotField showAll="0"/>
    <pivotField showAll="0"/>
    <pivotField showAll="0"/>
    <pivotField showAll="0">
      <items count="6">
        <item x="0"/>
        <item x="1"/>
        <item x="3"/>
        <item x="2"/>
        <item x="4"/>
        <item t="default"/>
      </items>
    </pivotField>
    <pivotField showAll="0"/>
    <pivotField showAll="0"/>
    <pivotField axis="axisCol" showAll="0">
      <items count="3">
        <item x="0"/>
        <item x="1"/>
        <item t="default"/>
      </items>
    </pivotField>
  </pivotFields>
  <rowFields count="1">
    <field x="15"/>
  </rowFields>
  <rowItems count="7">
    <i>
      <x/>
    </i>
    <i>
      <x v="1"/>
    </i>
    <i>
      <x v="2"/>
    </i>
    <i>
      <x v="3"/>
    </i>
    <i>
      <x v="4"/>
    </i>
    <i>
      <x v="5"/>
    </i>
    <i t="grand">
      <x/>
    </i>
  </rowItems>
  <colFields count="1">
    <field x="27"/>
  </colFields>
  <colItems count="3">
    <i>
      <x/>
    </i>
    <i>
      <x v="1"/>
    </i>
    <i t="grand">
      <x/>
    </i>
  </colItems>
  <dataFields count="1">
    <dataField name="Count of CustomerID" fld="0" subtotal="count" baseField="0" baseItem="0"/>
  </dataFields>
  <formats count="17">
    <format dxfId="239">
      <pivotArea type="all" dataOnly="0" outline="0" fieldPosition="0"/>
    </format>
    <format dxfId="238">
      <pivotArea outline="0" collapsedLevelsAreSubtotals="1" fieldPosition="0"/>
    </format>
    <format dxfId="237">
      <pivotArea type="origin" dataOnly="0" labelOnly="1" outline="0" fieldPosition="0"/>
    </format>
    <format dxfId="236">
      <pivotArea field="27" type="button" dataOnly="0" labelOnly="1" outline="0" axis="axisCol" fieldPosition="0"/>
    </format>
    <format dxfId="235">
      <pivotArea type="topRight" dataOnly="0" labelOnly="1" outline="0" fieldPosition="0"/>
    </format>
    <format dxfId="234">
      <pivotArea field="15" type="button" dataOnly="0" labelOnly="1" outline="0" axis="axisRow" fieldPosition="0"/>
    </format>
    <format dxfId="233">
      <pivotArea dataOnly="0" labelOnly="1" fieldPosition="0">
        <references count="1">
          <reference field="15" count="0"/>
        </references>
      </pivotArea>
    </format>
    <format dxfId="232">
      <pivotArea dataOnly="0" labelOnly="1" grandRow="1" outline="0" fieldPosition="0"/>
    </format>
    <format dxfId="231">
      <pivotArea dataOnly="0" labelOnly="1" fieldPosition="0">
        <references count="1">
          <reference field="27" count="0"/>
        </references>
      </pivotArea>
    </format>
    <format dxfId="230">
      <pivotArea dataOnly="0" labelOnly="1" grandCol="1" outline="0" fieldPosition="0"/>
    </format>
    <format dxfId="229">
      <pivotArea type="origin" dataOnly="0" labelOnly="1" outline="0" fieldPosition="0"/>
    </format>
    <format dxfId="228">
      <pivotArea field="27" type="button" dataOnly="0" labelOnly="1" outline="0" axis="axisCol" fieldPosition="0"/>
    </format>
    <format dxfId="227">
      <pivotArea type="topRight" dataOnly="0" labelOnly="1" outline="0" fieldPosition="0"/>
    </format>
    <format dxfId="226">
      <pivotArea field="15" type="button" dataOnly="0" labelOnly="1" outline="0" axis="axisRow" fieldPosition="0"/>
    </format>
    <format dxfId="225">
      <pivotArea dataOnly="0" labelOnly="1" fieldPosition="0">
        <references count="1">
          <reference field="27" count="0"/>
        </references>
      </pivotArea>
    </format>
    <format dxfId="224">
      <pivotArea dataOnly="0" labelOnly="1" grandCol="1" outline="0" fieldPosition="0"/>
    </format>
    <format dxfId="223">
      <pivotArea dataOnly="0" grandRow="1" fieldPosition="0"/>
    </format>
  </formats>
  <chartFormats count="4">
    <chartFormat chart="0" format="0" series="1">
      <pivotArea type="data" outline="0" fieldPosition="0">
        <references count="2">
          <reference field="4294967294" count="1" selected="0">
            <x v="0"/>
          </reference>
          <reference field="27" count="1" selected="0">
            <x v="0"/>
          </reference>
        </references>
      </pivotArea>
    </chartFormat>
    <chartFormat chart="0" format="1" series="1">
      <pivotArea type="data" outline="0" fieldPosition="0">
        <references count="2">
          <reference field="4294967294" count="1" selected="0">
            <x v="0"/>
          </reference>
          <reference field="27" count="1" selected="0">
            <x v="1"/>
          </reference>
        </references>
      </pivotArea>
    </chartFormat>
    <chartFormat chart="5" format="4" series="1">
      <pivotArea type="data" outline="0" fieldPosition="0">
        <references count="2">
          <reference field="4294967294" count="1" selected="0">
            <x v="0"/>
          </reference>
          <reference field="27" count="1" selected="0">
            <x v="0"/>
          </reference>
        </references>
      </pivotArea>
    </chartFormat>
    <chartFormat chart="5" format="5" series="1">
      <pivotArea type="data" outline="0" fieldPosition="0">
        <references count="2">
          <reference field="4294967294" count="1" selected="0">
            <x v="0"/>
          </reference>
          <reference field="2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59ABD6-44B4-4491-9B61-8348B6CECC1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81FDB5-D0FE-4FC4-82A7-4273002C5F3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8">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ccountBalance" fld="11" subtotal="average" baseField="0" baseItem="0" numFmtId="2"/>
  </dataFields>
  <formats count="1">
    <format dxfId="2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3CAD474-38FB-4CAB-9E18-6C58D227094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CreditScore" fld="1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ED4886-9F86-4E45-AFA5-BE53E955528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LoanAmount" fld="16" baseField="0" baseItem="0" numFmtId="1"/>
  </dataFields>
  <formats count="1">
    <format dxfId="2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FCCBF72-DBF7-4EA5-AFB7-566AFFF7ACB7}" sourceName="Region">
  <pivotTables>
    <pivotTable tabId="3" name="PivotTable1"/>
    <pivotTable tabId="5" name="PivotTable3"/>
    <pivotTable tabId="4" name="PivotTable2"/>
    <pivotTable tabId="7" name="PivotTable5"/>
    <pivotTable tabId="8" name="PivotTable6"/>
    <pivotTable tabId="6" name="PivotTable4"/>
  </pivotTables>
  <data>
    <tabular pivotCacheId="948451385">
      <items count="5">
        <i x="1" s="1"/>
        <i x="3"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Type" xr10:uid="{9BA9A076-6AF7-4350-8E9E-EC584439B5FD}" sourceName="AccountType">
  <pivotTables>
    <pivotTable tabId="3" name="PivotTable1"/>
    <pivotTable tabId="5" name="PivotTable3"/>
    <pivotTable tabId="4" name="PivotTable2"/>
    <pivotTable tabId="7" name="PivotTable5"/>
    <pivotTable tabId="8" name="PivotTable6"/>
    <pivotTable tabId="6" name="PivotTable4"/>
  </pivotTables>
  <data>
    <tabular pivotCacheId="948451385">
      <items count="5">
        <i x="2" s="1"/>
        <i x="4"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Band" xr10:uid="{3378623F-B410-49FC-88DF-579E779E2578}" sourceName="CreditBand">
  <pivotTables>
    <pivotTable tabId="3" name="PivotTable1"/>
    <pivotTable tabId="5" name="PivotTable3"/>
    <pivotTable tabId="4" name="PivotTable2"/>
    <pivotTable tabId="7" name="PivotTable5"/>
    <pivotTable tabId="8" name="PivotTable6"/>
    <pivotTable tabId="6" name="PivotTable4"/>
  </pivotTables>
  <data>
    <tabular pivotCacheId="948451385">
      <items count="5">
        <i x="3"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Type" xr10:uid="{E9C71401-2DC9-46C1-9B2C-A507267E7BF7}" sourceName="LoanType">
  <pivotTables>
    <pivotTable tabId="3" name="PivotTable1"/>
    <pivotTable tabId="5" name="PivotTable3"/>
    <pivotTable tabId="4" name="PivotTable2"/>
    <pivotTable tabId="7" name="PivotTable5"/>
    <pivotTable tabId="8" name="PivotTable6"/>
    <pivotTable tabId="6" name="PivotTable4"/>
  </pivotTables>
  <data>
    <tabular pivotCacheId="948451385">
      <items count="6">
        <i x="2" s="1"/>
        <i x="0" s="1"/>
        <i x="4" s="1"/>
        <i x="3" s="1"/>
        <i x="1"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ferredChannel" xr10:uid="{260EF260-5CDC-4A9F-9242-6458EB5B593F}" sourceName="PreferredChannel">
  <pivotTables>
    <pivotTable tabId="3" name="PivotTable1"/>
    <pivotTable tabId="5" name="PivotTable3"/>
    <pivotTable tabId="4" name="PivotTable2"/>
    <pivotTable tabId="7" name="PivotTable5"/>
    <pivotTable tabId="8" name="PivotTable6"/>
    <pivotTable tabId="6" name="PivotTable4"/>
  </pivotTables>
  <data>
    <tabular pivotCacheId="948451385">
      <items count="5">
        <i x="0" s="1"/>
        <i x="1" s="1"/>
        <i x="3" s="1"/>
        <i x="2"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ed" xr10:uid="{BC7B9810-9848-4352-AD95-E29A5D174E05}" sourceName="Churned">
  <pivotTables>
    <pivotTable tabId="3" name="PivotTable1"/>
    <pivotTable tabId="5" name="PivotTable3"/>
    <pivotTable tabId="4" name="PivotTable2"/>
    <pivotTable tabId="7" name="PivotTable5"/>
    <pivotTable tabId="8" name="PivotTable6"/>
    <pivotTable tabId="6" name="PivotTable4"/>
  </pivotTables>
  <data>
    <tabular pivotCacheId="94845138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6" xr10:uid="{2DD4B624-2424-468D-8121-9DBC75FFC67B}" cache="Slicer_Region" caption="Region" style="SlicerStyleLight6" rowHeight="234950"/>
  <slicer name="AccountType 6" xr10:uid="{4BE87044-01E5-414D-B762-3CC657A5521F}" cache="Slicer_AccountType" caption="AccountType" style="SlicerStyleLight6" rowHeight="234950"/>
  <slicer name="CreditBand 6" xr10:uid="{46E05D23-BAA6-4D57-831E-6AD60400561C}" cache="Slicer_CreditBand" caption="CreditBand" style="SlicerStyleLight6" rowHeight="234950"/>
  <slicer name="LoanType 6" xr10:uid="{EB07E146-FF3C-4252-B9BA-C52C2891BE15}" cache="Slicer_LoanType" caption="LoanType" style="SlicerStyleLight6" rowHeight="234950"/>
  <slicer name="PreferredChannel 6" xr10:uid="{6E5E2BFE-2F1F-4BB5-9214-8BFE32463136}" cache="Slicer_PreferredChannel" caption="PreferredChannel" style="SlicerStyleLight6" rowHeight="234950"/>
  <slicer name="Churned 6" xr10:uid="{73018248-1B38-4173-AD57-F7B5038CA083}" cache="Slicer_Churned" caption="Churned"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89D78D7-3C2D-4B2A-865F-EE3C9146D697}" cache="Slicer_Region" caption="Region" style="SlicerStyleLight3" rowHeight="234950"/>
  <slicer name="AccountType" xr10:uid="{634098D2-B86A-4829-A51A-6A97227225BF}" cache="Slicer_AccountType" caption="AccountType" style="SlicerStyleLight3" rowHeight="234950"/>
  <slicer name="CreditBand" xr10:uid="{95018D1F-51FA-4DED-BF21-E24DE883DE0B}" cache="Slicer_CreditBand" caption="CreditBand" style="SlicerStyleLight3" rowHeight="234950"/>
  <slicer name="LoanType" xr10:uid="{51724430-75BC-4799-832C-883D4BE8A57A}" cache="Slicer_LoanType" caption="LoanType" style="SlicerStyleLight3" rowHeight="234950"/>
  <slicer name="PreferredChannel" xr10:uid="{8833211F-841A-4A74-BEE0-3AAE7BF47C4A}" cache="Slicer_PreferredChannel" caption="PreferredChannel" style="SlicerStyleLight3" rowHeight="234950"/>
  <slicer name="Churned" xr10:uid="{B8F9E098-70FF-4336-9A01-0E850C586B2D}" cache="Slicer_Churned" caption="Churned" style="SlicerStyleLight3"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FFC5EDC-0D16-479F-878D-799A160A4FBD}" cache="Slicer_Region" caption="Region" style="SlicerStyleLight3" rowHeight="234950"/>
  <slicer name="AccountType 1" xr10:uid="{549EDD10-1CC2-4631-B981-FE255341581F}" cache="Slicer_AccountType" caption="AccountType" style="SlicerStyleLight3" rowHeight="234950"/>
  <slicer name="CreditBand 1" xr10:uid="{7F526B6E-A678-4F15-96EF-FC253B7988E2}" cache="Slicer_CreditBand" caption="CreditBand" style="SlicerStyleLight3" rowHeight="234950"/>
  <slicer name="LoanType 1" xr10:uid="{489FE28E-55E1-4320-B6D3-89436893C225}" cache="Slicer_LoanType" caption="LoanType" style="SlicerStyleLight3" rowHeight="234950"/>
  <slicer name="PreferredChannel 1" xr10:uid="{EB8F97B7-A85E-4D83-8CB1-EE912B6D3692}" cache="Slicer_PreferredChannel" caption="PreferredChannel" style="SlicerStyleLight3" rowHeight="234950"/>
  <slicer name="Churned 1" xr10:uid="{1A8A4AE2-9FF2-4E5F-9C7A-65D9AD58F04F}" cache="Slicer_Churned" caption="Churned" style="SlicerStyleLight3"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476053BE-A80A-4190-827E-74D74717C072}" cache="Slicer_Region" caption="Region" style="SlicerStyleLight3" rowHeight="234950"/>
  <slicer name="AccountType 2" xr10:uid="{1DB05E6B-EDBC-4348-A9CB-7E105DB04FDC}" cache="Slicer_AccountType" caption="AccountType" style="SlicerStyleLight3" rowHeight="234950"/>
  <slicer name="CreditBand 2" xr10:uid="{80B33404-9EA8-4BFF-995F-51E24726B054}" cache="Slicer_CreditBand" caption="CreditBand" style="SlicerStyleLight3" rowHeight="234950"/>
  <slicer name="LoanType 2" xr10:uid="{025EDFAA-670E-406E-9083-F3AE99BF18FE}" cache="Slicer_LoanType" caption="LoanType" style="SlicerStyleLight3" rowHeight="234950"/>
  <slicer name="PreferredChannel 2" xr10:uid="{640243C8-6406-4FF3-8979-D608077EDEEE}" cache="Slicer_PreferredChannel" caption="PreferredChannel" style="SlicerStyleLight3" rowHeight="234950"/>
  <slicer name="Churned 2" xr10:uid="{D2B52771-CBF5-41DB-93BD-FB0807CEE854}" cache="Slicer_Churned" caption="Churned" style="SlicerStyleLight3"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BBD0F7F1-E5C1-46C1-BA58-76CF8F00C21F}" cache="Slicer_Region" caption="Region" style="SlicerStyleLight3" rowHeight="234950"/>
  <slicer name="AccountType 3" xr10:uid="{84AB4E8A-322A-4925-A345-A19662A77937}" cache="Slicer_AccountType" caption="AccountType" style="SlicerStyleLight3" rowHeight="234950"/>
  <slicer name="CreditBand 3" xr10:uid="{3CC22EDA-0B13-42EF-84E7-EDEE8152C498}" cache="Slicer_CreditBand" caption="CreditBand" style="SlicerStyleLight3" rowHeight="234950"/>
  <slicer name="LoanType 3" xr10:uid="{832B21E6-A2E9-43BE-A691-A99F5E23B8E8}" cache="Slicer_LoanType" caption="LoanType" style="SlicerStyleLight3" rowHeight="234950"/>
  <slicer name="PreferredChannel 3" xr10:uid="{973D27FC-E1BD-499B-B1F0-8FC55E7939F8}" cache="Slicer_PreferredChannel" caption="PreferredChannel" style="SlicerStyleLight3" rowHeight="234950"/>
  <slicer name="Churned 3" xr10:uid="{F76BA269-8720-4BCC-BF3E-AE0A0DDB97D7}" cache="Slicer_Churned" caption="Churned" style="SlicerStyleLight3"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ED44AB98-0A7A-42BC-8DAF-7B268F456D71}" cache="Slicer_Region" caption="Region" style="SlicerStyleLight3" rowHeight="234950"/>
  <slicer name="AccountType 4" xr10:uid="{19380645-123E-4409-AD51-30073E3C0F56}" cache="Slicer_AccountType" caption="AccountType" style="SlicerStyleLight3" rowHeight="234950"/>
  <slicer name="CreditBand 4" xr10:uid="{E23C4FD7-8A7B-402A-A8D3-BD6560B2590F}" cache="Slicer_CreditBand" caption="CreditBand" style="SlicerStyleLight3" rowHeight="234950"/>
  <slicer name="LoanType 4" xr10:uid="{03D2BC56-A3B1-4D48-9FF0-FEC329D9385D}" cache="Slicer_LoanType" caption="LoanType" style="SlicerStyleLight3" rowHeight="234950"/>
  <slicer name="PreferredChannel 4" xr10:uid="{BBD36495-2AF0-439B-A1EC-64DD44D55E13}" cache="Slicer_PreferredChannel" caption="PreferredChannel" style="SlicerStyleLight3" rowHeight="234950"/>
  <slicer name="Churned 4" xr10:uid="{8EB90841-429A-48B7-AE04-D401AC6D9D91}" cache="Slicer_Churned" caption="Churned" style="SlicerStyleLight3"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81132622-A9E1-4EFC-8D2C-F958C5DA7EA4}" cache="Slicer_Region" caption="Region" style="SlicerStyleLight3" rowHeight="234950"/>
  <slicer name="AccountType 5" xr10:uid="{9805D8A5-53A3-4271-943B-0D19C8CA4EB3}" cache="Slicer_AccountType" caption="AccountType" style="SlicerStyleLight3" rowHeight="234950"/>
  <slicer name="CreditBand 5" xr10:uid="{4823147A-DE03-49E3-8DE6-627B2C29F159}" cache="Slicer_CreditBand" caption="CreditBand" style="SlicerStyleLight3" rowHeight="234950"/>
  <slicer name="LoanType 5" xr10:uid="{D741A0D3-93EA-4256-8E58-209604DD5FB0}" cache="Slicer_LoanType" caption="LoanType" style="SlicerStyleLight3" rowHeight="234950"/>
  <slicer name="PreferredChannel 5" xr10:uid="{CA665C3D-8A15-4546-84D7-955D8DE36E95}" cache="Slicer_PreferredChannel" caption="PreferredChannel" style="SlicerStyleLight3" rowHeight="234950"/>
  <slicer name="Churned 5" xr10:uid="{AF0520F3-A57E-49BB-A140-D31FC2E59EE8}" cache="Slicer_Churned" caption="Churned" style="SlicerStyleLight3" rowHeight="23495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246D8-84B9-4FD4-B8F5-AC65D7593B5C}">
  <dimension ref="A1"/>
  <sheetViews>
    <sheetView showGridLines="0" tabSelected="1" zoomScale="80" zoomScaleNormal="80" workbookViewId="0">
      <selection activeCell="AD66" sqref="AD66"/>
    </sheetView>
  </sheetViews>
  <sheetFormatPr defaultRowHeight="14.4"/>
  <cols>
    <col min="1" max="16384" width="8.88671875" style="8"/>
  </cols>
  <sheetData>
    <row r="1" spans="1:1" s="10" customFormat="1" ht="34.200000000000003" customHeight="1">
      <c r="A1" s="9" t="s">
        <v>36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0CA77-6CC2-430E-AE35-A4EB66D78310}">
  <dimension ref="A3:D10"/>
  <sheetViews>
    <sheetView workbookViewId="0">
      <selection activeCell="O23" sqref="O23"/>
    </sheetView>
  </sheetViews>
  <sheetFormatPr defaultRowHeight="14.4"/>
  <cols>
    <col min="1" max="1" width="18.88671875" bestFit="1" customWidth="1"/>
    <col min="2" max="2" width="15.5546875" bestFit="1" customWidth="1"/>
    <col min="3" max="3" width="4" bestFit="1" customWidth="1"/>
    <col min="4" max="4" width="10.77734375" bestFit="1" customWidth="1"/>
  </cols>
  <sheetData>
    <row r="3" spans="1:4">
      <c r="A3" s="1" t="s">
        <v>31</v>
      </c>
      <c r="B3" s="1" t="s">
        <v>30</v>
      </c>
    </row>
    <row r="4" spans="1:4">
      <c r="A4" s="1" t="s">
        <v>28</v>
      </c>
      <c r="B4" t="s">
        <v>5</v>
      </c>
      <c r="C4" t="s">
        <v>21</v>
      </c>
      <c r="D4" t="s">
        <v>29</v>
      </c>
    </row>
    <row r="5" spans="1:4">
      <c r="A5" s="2" t="s">
        <v>10</v>
      </c>
      <c r="B5" s="11">
        <v>142</v>
      </c>
      <c r="C5" s="11">
        <v>29</v>
      </c>
      <c r="D5" s="11">
        <v>171</v>
      </c>
    </row>
    <row r="6" spans="1:4">
      <c r="A6" s="2" t="s">
        <v>22</v>
      </c>
      <c r="B6" s="11">
        <v>139</v>
      </c>
      <c r="C6" s="11">
        <v>29</v>
      </c>
      <c r="D6" s="11">
        <v>168</v>
      </c>
    </row>
    <row r="7" spans="1:4">
      <c r="A7" s="2" t="s">
        <v>0</v>
      </c>
      <c r="B7" s="11">
        <v>142</v>
      </c>
      <c r="C7" s="11">
        <v>17</v>
      </c>
      <c r="D7" s="11">
        <v>159</v>
      </c>
    </row>
    <row r="8" spans="1:4">
      <c r="A8" s="2" t="s">
        <v>18</v>
      </c>
      <c r="B8" s="11">
        <v>128</v>
      </c>
      <c r="C8" s="11">
        <v>31</v>
      </c>
      <c r="D8" s="11">
        <v>159</v>
      </c>
    </row>
    <row r="9" spans="1:4">
      <c r="A9" s="2" t="s">
        <v>26</v>
      </c>
      <c r="B9" s="11">
        <v>113</v>
      </c>
      <c r="C9" s="11">
        <v>30</v>
      </c>
      <c r="D9" s="11">
        <v>143</v>
      </c>
    </row>
    <row r="10" spans="1:4">
      <c r="A10" s="2" t="s">
        <v>29</v>
      </c>
      <c r="B10" s="11">
        <v>664</v>
      </c>
      <c r="C10" s="11">
        <v>136</v>
      </c>
      <c r="D10" s="11">
        <v>800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0A50F-D0CD-4A1A-8C93-4BA85600E42A}">
  <dimension ref="A3:D10"/>
  <sheetViews>
    <sheetView workbookViewId="0">
      <selection activeCell="I19" sqref="I19"/>
    </sheetView>
  </sheetViews>
  <sheetFormatPr defaultRowHeight="14.4"/>
  <cols>
    <col min="1" max="1" width="18.88671875" bestFit="1" customWidth="1"/>
    <col min="2" max="2" width="15.5546875" bestFit="1" customWidth="1"/>
    <col min="3" max="3" width="4" bestFit="1" customWidth="1"/>
    <col min="4" max="4" width="10.77734375" bestFit="1" customWidth="1"/>
  </cols>
  <sheetData>
    <row r="3" spans="1:4">
      <c r="A3" s="1" t="s">
        <v>31</v>
      </c>
      <c r="B3" s="1" t="s">
        <v>30</v>
      </c>
    </row>
    <row r="4" spans="1:4">
      <c r="A4" s="1" t="s">
        <v>28</v>
      </c>
      <c r="B4" t="s">
        <v>5</v>
      </c>
      <c r="C4" t="s">
        <v>21</v>
      </c>
      <c r="D4" t="s">
        <v>29</v>
      </c>
    </row>
    <row r="5" spans="1:4">
      <c r="A5" s="2" t="s">
        <v>20</v>
      </c>
      <c r="B5" s="11">
        <v>60</v>
      </c>
      <c r="C5" s="11">
        <v>16</v>
      </c>
      <c r="D5" s="11">
        <v>76</v>
      </c>
    </row>
    <row r="6" spans="1:4">
      <c r="A6" s="2" t="s">
        <v>2</v>
      </c>
      <c r="B6" s="11">
        <v>208</v>
      </c>
      <c r="C6" s="11">
        <v>45</v>
      </c>
      <c r="D6" s="11">
        <v>253</v>
      </c>
    </row>
    <row r="7" spans="1:4">
      <c r="A7" s="2" t="s">
        <v>7</v>
      </c>
      <c r="B7" s="11">
        <v>205</v>
      </c>
      <c r="C7" s="11">
        <v>31</v>
      </c>
      <c r="D7" s="11">
        <v>236</v>
      </c>
    </row>
    <row r="8" spans="1:4">
      <c r="A8" s="2" t="s">
        <v>25</v>
      </c>
      <c r="B8" s="11">
        <v>84</v>
      </c>
      <c r="C8" s="11">
        <v>25</v>
      </c>
      <c r="D8" s="11">
        <v>109</v>
      </c>
    </row>
    <row r="9" spans="1:4">
      <c r="A9" s="2" t="s">
        <v>16</v>
      </c>
      <c r="B9" s="11">
        <v>107</v>
      </c>
      <c r="C9" s="11">
        <v>19</v>
      </c>
      <c r="D9" s="11">
        <v>126</v>
      </c>
    </row>
    <row r="10" spans="1:4">
      <c r="A10" s="2" t="s">
        <v>29</v>
      </c>
      <c r="B10" s="11">
        <v>664</v>
      </c>
      <c r="C10" s="11">
        <v>136</v>
      </c>
      <c r="D10" s="11">
        <v>800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213C8-271B-4DE2-BD93-D5754B297419}">
  <dimension ref="A3:C9"/>
  <sheetViews>
    <sheetView workbookViewId="0">
      <selection activeCell="F21" sqref="F21"/>
    </sheetView>
  </sheetViews>
  <sheetFormatPr defaultRowHeight="14.4"/>
  <cols>
    <col min="1" max="1" width="12.5546875" bestFit="1" customWidth="1"/>
    <col min="2" max="3" width="24.44140625" bestFit="1" customWidth="1"/>
  </cols>
  <sheetData>
    <row r="3" spans="1:3">
      <c r="A3" s="1" t="s">
        <v>28</v>
      </c>
      <c r="B3" t="s">
        <v>32</v>
      </c>
      <c r="C3" t="s">
        <v>33</v>
      </c>
    </row>
    <row r="4" spans="1:3">
      <c r="A4" s="2" t="s">
        <v>12</v>
      </c>
      <c r="B4" s="11">
        <v>47645.405449438214</v>
      </c>
      <c r="C4" s="11">
        <v>44012.968202247182</v>
      </c>
    </row>
    <row r="5" spans="1:3">
      <c r="A5" s="2" t="s">
        <v>27</v>
      </c>
      <c r="B5" s="11">
        <v>54156.479819819819</v>
      </c>
      <c r="C5" s="11">
        <v>44086.945945945918</v>
      </c>
    </row>
    <row r="6" spans="1:3">
      <c r="A6" s="2" t="s">
        <v>15</v>
      </c>
      <c r="B6" s="11">
        <v>56562.543472222234</v>
      </c>
      <c r="C6" s="11">
        <v>42077.037777777768</v>
      </c>
    </row>
    <row r="7" spans="1:3">
      <c r="A7" s="2" t="s">
        <v>1</v>
      </c>
      <c r="B7" s="11">
        <v>55727.736666666679</v>
      </c>
      <c r="C7" s="11">
        <v>43690.73579999998</v>
      </c>
    </row>
    <row r="8" spans="1:3">
      <c r="A8" s="2" t="s">
        <v>6</v>
      </c>
      <c r="B8" s="11">
        <v>57559.869342560567</v>
      </c>
      <c r="C8" s="11">
        <v>46058.044256055386</v>
      </c>
    </row>
    <row r="9" spans="1:3">
      <c r="A9" s="2" t="s">
        <v>29</v>
      </c>
      <c r="B9" s="11">
        <v>54448.396624999943</v>
      </c>
      <c r="C9" s="11">
        <v>44527.364024999973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74DCF-434C-472A-B3A6-696542F4A6AD}">
  <dimension ref="A3:B9"/>
  <sheetViews>
    <sheetView workbookViewId="0">
      <selection activeCell="N6" sqref="N6"/>
    </sheetView>
  </sheetViews>
  <sheetFormatPr defaultRowHeight="14.4"/>
  <cols>
    <col min="1" max="1" width="14.44140625" bestFit="1" customWidth="1"/>
    <col min="2" max="2" width="18.88671875" bestFit="1" customWidth="1"/>
  </cols>
  <sheetData>
    <row r="3" spans="1:2">
      <c r="A3" s="1" t="s">
        <v>28</v>
      </c>
      <c r="B3" t="s">
        <v>31</v>
      </c>
    </row>
    <row r="4" spans="1:2">
      <c r="A4" s="2" t="s">
        <v>4</v>
      </c>
      <c r="B4" s="11">
        <v>103</v>
      </c>
    </row>
    <row r="5" spans="1:2">
      <c r="A5" s="2" t="s">
        <v>17</v>
      </c>
      <c r="B5" s="11">
        <v>223</v>
      </c>
    </row>
    <row r="6" spans="1:2">
      <c r="A6" s="2" t="s">
        <v>9</v>
      </c>
      <c r="B6" s="11">
        <v>280</v>
      </c>
    </row>
    <row r="7" spans="1:2">
      <c r="A7" s="2" t="s">
        <v>13</v>
      </c>
      <c r="B7" s="11">
        <v>81</v>
      </c>
    </row>
    <row r="8" spans="1:2">
      <c r="A8" s="2" t="s">
        <v>11</v>
      </c>
      <c r="B8" s="11">
        <v>113</v>
      </c>
    </row>
    <row r="9" spans="1:2">
      <c r="A9" s="2" t="s">
        <v>29</v>
      </c>
      <c r="B9" s="11">
        <v>800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1A16C-CF79-40B1-82B2-3B423BF5D118}">
  <dimension ref="A3:D10"/>
  <sheetViews>
    <sheetView workbookViewId="0">
      <selection activeCell="B4" sqref="B4"/>
    </sheetView>
  </sheetViews>
  <sheetFormatPr defaultRowHeight="14.4"/>
  <cols>
    <col min="1" max="1" width="18.88671875" bestFit="1" customWidth="1"/>
    <col min="2" max="2" width="15.5546875" bestFit="1" customWidth="1"/>
    <col min="3" max="3" width="4" bestFit="1" customWidth="1"/>
    <col min="4" max="4" width="10.77734375" bestFit="1" customWidth="1"/>
  </cols>
  <sheetData>
    <row r="3" spans="1:4">
      <c r="A3" s="1" t="s">
        <v>31</v>
      </c>
      <c r="B3" s="1" t="s">
        <v>30</v>
      </c>
    </row>
    <row r="4" spans="1:4">
      <c r="A4" s="1" t="s">
        <v>28</v>
      </c>
      <c r="B4" t="s">
        <v>5</v>
      </c>
      <c r="C4" t="s">
        <v>21</v>
      </c>
      <c r="D4" t="s">
        <v>29</v>
      </c>
    </row>
    <row r="5" spans="1:4">
      <c r="A5" s="2">
        <v>0</v>
      </c>
      <c r="B5" s="11">
        <v>376</v>
      </c>
      <c r="C5" s="11">
        <v>65</v>
      </c>
      <c r="D5" s="11">
        <v>441</v>
      </c>
    </row>
    <row r="6" spans="1:4">
      <c r="A6" s="2">
        <v>1</v>
      </c>
      <c r="B6" s="11">
        <v>165</v>
      </c>
      <c r="C6" s="11">
        <v>23</v>
      </c>
      <c r="D6" s="11">
        <v>188</v>
      </c>
    </row>
    <row r="7" spans="1:4">
      <c r="A7" s="2">
        <v>2</v>
      </c>
      <c r="B7" s="11">
        <v>65</v>
      </c>
      <c r="C7" s="11">
        <v>26</v>
      </c>
      <c r="D7" s="11">
        <v>91</v>
      </c>
    </row>
    <row r="8" spans="1:4">
      <c r="A8" s="2">
        <v>3</v>
      </c>
      <c r="B8" s="11">
        <v>39</v>
      </c>
      <c r="C8" s="11">
        <v>17</v>
      </c>
      <c r="D8" s="11">
        <v>56</v>
      </c>
    </row>
    <row r="9" spans="1:4">
      <c r="A9" s="2">
        <v>4</v>
      </c>
      <c r="B9" s="11">
        <v>19</v>
      </c>
      <c r="C9" s="11">
        <v>5</v>
      </c>
      <c r="D9" s="11">
        <v>24</v>
      </c>
    </row>
    <row r="10" spans="1:4">
      <c r="A10" s="2" t="s">
        <v>29</v>
      </c>
      <c r="B10" s="11">
        <v>664</v>
      </c>
      <c r="C10" s="11">
        <v>136</v>
      </c>
      <c r="D10" s="11">
        <v>800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3F70B-9E44-44AB-A4D0-393836A68020}">
  <dimension ref="A3:D11"/>
  <sheetViews>
    <sheetView workbookViewId="0">
      <selection activeCell="E7" sqref="E7"/>
    </sheetView>
  </sheetViews>
  <sheetFormatPr defaultRowHeight="14.4"/>
  <cols>
    <col min="1" max="1" width="18.88671875" bestFit="1" customWidth="1"/>
    <col min="2" max="2" width="15.5546875" bestFit="1" customWidth="1"/>
    <col min="3" max="3" width="4" bestFit="1" customWidth="1"/>
    <col min="4" max="4" width="10.77734375" bestFit="1" customWidth="1"/>
  </cols>
  <sheetData>
    <row r="3" spans="1:4">
      <c r="A3" s="4" t="s">
        <v>31</v>
      </c>
      <c r="B3" s="4" t="s">
        <v>30</v>
      </c>
      <c r="C3" s="4"/>
      <c r="D3" s="4"/>
    </row>
    <row r="4" spans="1:4">
      <c r="A4" s="4" t="s">
        <v>28</v>
      </c>
      <c r="B4" s="4" t="s">
        <v>5</v>
      </c>
      <c r="C4" s="4" t="s">
        <v>21</v>
      </c>
      <c r="D4" s="4" t="s">
        <v>29</v>
      </c>
    </row>
    <row r="5" spans="1:4">
      <c r="A5" s="3" t="s">
        <v>14</v>
      </c>
      <c r="B5" s="12">
        <v>75</v>
      </c>
      <c r="C5" s="12">
        <v>11</v>
      </c>
      <c r="D5" s="12">
        <v>86</v>
      </c>
    </row>
    <row r="6" spans="1:4">
      <c r="A6" s="3" t="s">
        <v>3</v>
      </c>
      <c r="B6" s="12">
        <v>73</v>
      </c>
      <c r="C6" s="12">
        <v>7</v>
      </c>
      <c r="D6" s="12">
        <v>80</v>
      </c>
    </row>
    <row r="7" spans="1:4">
      <c r="A7" s="3" t="s">
        <v>23</v>
      </c>
      <c r="B7" s="12">
        <v>77</v>
      </c>
      <c r="C7" s="12">
        <v>14</v>
      </c>
      <c r="D7" s="12">
        <v>91</v>
      </c>
    </row>
    <row r="8" spans="1:4">
      <c r="A8" s="3" t="s">
        <v>19</v>
      </c>
      <c r="B8" s="12">
        <v>78</v>
      </c>
      <c r="C8" s="12">
        <v>23</v>
      </c>
      <c r="D8" s="12">
        <v>101</v>
      </c>
    </row>
    <row r="9" spans="1:4">
      <c r="A9" s="3" t="s">
        <v>8</v>
      </c>
      <c r="B9" s="12">
        <v>281</v>
      </c>
      <c r="C9" s="12">
        <v>64</v>
      </c>
      <c r="D9" s="12">
        <v>345</v>
      </c>
    </row>
    <row r="10" spans="1:4">
      <c r="A10" s="3" t="s">
        <v>24</v>
      </c>
      <c r="B10" s="12">
        <v>80</v>
      </c>
      <c r="C10" s="12">
        <v>17</v>
      </c>
      <c r="D10" s="12">
        <v>97</v>
      </c>
    </row>
    <row r="11" spans="1:4">
      <c r="A11" s="5" t="s">
        <v>29</v>
      </c>
      <c r="B11" s="13">
        <v>664</v>
      </c>
      <c r="C11" s="13">
        <v>136</v>
      </c>
      <c r="D11" s="13">
        <v>800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19AF6-DFCD-4D51-89C1-C2EE09623DD3}">
  <dimension ref="A3:A4"/>
  <sheetViews>
    <sheetView workbookViewId="0">
      <selection activeCell="A7" sqref="A7"/>
    </sheetView>
  </sheetViews>
  <sheetFormatPr defaultRowHeight="14.4"/>
  <cols>
    <col min="1" max="1" width="18.88671875" bestFit="1" customWidth="1"/>
  </cols>
  <sheetData>
    <row r="3" spans="1:1">
      <c r="A3" t="s">
        <v>31</v>
      </c>
    </row>
    <row r="4" spans="1:1">
      <c r="A4">
        <v>800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B8AEE-3BC5-42E7-91FD-275732F4D54B}">
  <dimension ref="A3:A4"/>
  <sheetViews>
    <sheetView workbookViewId="0">
      <selection activeCell="A4" sqref="A4"/>
    </sheetView>
  </sheetViews>
  <sheetFormatPr defaultRowHeight="14.4"/>
  <cols>
    <col min="1" max="1" width="24.44140625" bestFit="1" customWidth="1"/>
  </cols>
  <sheetData>
    <row r="3" spans="1:1">
      <c r="A3" t="s">
        <v>32</v>
      </c>
    </row>
    <row r="4" spans="1:1">
      <c r="A4" s="6">
        <v>54448.396624999965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4DA83-1D02-436D-B365-B4C588CEE2DE}">
  <dimension ref="A3:A4"/>
  <sheetViews>
    <sheetView workbookViewId="0">
      <selection activeCell="A3" sqref="A3"/>
    </sheetView>
  </sheetViews>
  <sheetFormatPr defaultRowHeight="14.4"/>
  <cols>
    <col min="1" max="1" width="20.44140625" bestFit="1" customWidth="1"/>
  </cols>
  <sheetData>
    <row r="3" spans="1:1">
      <c r="A3" t="s">
        <v>34</v>
      </c>
    </row>
    <row r="4" spans="1:1">
      <c r="A4">
        <v>677.24125000000004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C8C18-381A-43DF-89C2-0F38DB193A1A}">
  <dimension ref="A3:A4"/>
  <sheetViews>
    <sheetView workbookViewId="0">
      <selection activeCell="D9" sqref="D9"/>
    </sheetView>
  </sheetViews>
  <sheetFormatPr defaultRowHeight="14.4"/>
  <cols>
    <col min="1" max="1" width="18.6640625" bestFit="1" customWidth="1"/>
  </cols>
  <sheetData>
    <row r="3" spans="1:1">
      <c r="A3" t="s">
        <v>35</v>
      </c>
    </row>
    <row r="4" spans="1:1">
      <c r="A4" s="7">
        <v>584739997.50999987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Churn by Region</vt:lpstr>
      <vt:lpstr>Churn Rate by Credit Band</vt:lpstr>
      <vt:lpstr>Balance &amp; Income by Account Typ</vt:lpstr>
      <vt:lpstr>Satisfaction Distribution</vt:lpstr>
      <vt:lpstr>Complaints vs Churn</vt:lpstr>
      <vt:lpstr>Loan Type vs Churn</vt:lpstr>
      <vt:lpstr>Sheet9</vt:lpstr>
      <vt:lpstr>Sheet11</vt:lpstr>
      <vt:lpstr>Sheet12</vt:lpstr>
      <vt:lpstr>Sheet15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dc:description/>
  <cp:lastModifiedBy>PINDI AKASH</cp:lastModifiedBy>
  <cp:revision>0</cp:revision>
  <dcterms:created xsi:type="dcterms:W3CDTF">2026-07-05T09:18:43Z</dcterms:created>
  <dcterms:modified xsi:type="dcterms:W3CDTF">2026-07-05T14:45:04Z</dcterms:modified>
  <dc:language>en-US</dc:language>
</cp:coreProperties>
</file>